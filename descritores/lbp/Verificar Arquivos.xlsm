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tables/table4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82699a7e815c4514" Type="http://schemas.microsoft.com/office/2007/relationships/ui/extensibility" Target="customUI/customUI14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filterPrivacy="1" codeName="ThisWorkbook" defaultThemeVersion="153222"/>
  <bookViews>
    <workbookView xWindow="0" yWindow="0" windowWidth="11520" windowHeight="8340" tabRatio="814"/>
  </bookViews>
  <sheets>
    <sheet name="Cover" sheetId="15" r:id="rId1"/>
    <sheet name="Config Files" sheetId="9" r:id="rId2"/>
    <sheet name="Error Files" sheetId="8" r:id="rId3"/>
    <sheet name="Error Progression" sheetId="10" r:id="rId4"/>
    <sheet name="Relations" sheetId="14" state="hidden" r:id="rId5"/>
    <sheet name="DQ Report" sheetId="13" r:id="rId6"/>
  </sheets>
  <functionGroups builtInGroupCount="18"/>
  <externalReferences>
    <externalReference r:id="rId7"/>
  </externalReferences>
  <definedNames>
    <definedName name="_buildVersion" localSheetId="0">Cover!$B$4</definedName>
    <definedName name="_xlnm._FilterDatabase" localSheetId="4" hidden="1">Relations!$A$1:$F$2</definedName>
    <definedName name="_lastFile" localSheetId="0">Cover!$B$6</definedName>
    <definedName name="_lastUpdated" localSheetId="0">Cover!$B$2</definedName>
    <definedName name="fff" hidden="1">#REF!</definedName>
    <definedName name="teste" hidden="1">#REF!</definedName>
    <definedName name="VSTS_030748b2_92c6_4881_a47f_597206505ace_1" localSheetId="0" hidden="1">#REF!</definedName>
    <definedName name="VSTS_030748b2_92c6_4881_a47f_597206505ace_1" localSheetId="4" hidden="1">#REF!</definedName>
    <definedName name="VSTS_030748b2_92c6_4881_a47f_597206505ace_1" hidden="1">#REF!</definedName>
    <definedName name="VSTS_030748b2_92c6_4881_a47f_597206505ace_10010" localSheetId="0" hidden="1">#REF!</definedName>
    <definedName name="VSTS_030748b2_92c6_4881_a47f_597206505ace_10010" localSheetId="4" hidden="1">#REF!</definedName>
    <definedName name="VSTS_030748b2_92c6_4881_a47f_597206505ace_10010" hidden="1">#REF!</definedName>
    <definedName name="VSTS_030748b2_92c6_4881_a47f_597206505ace_10012" localSheetId="0" hidden="1">#REF!</definedName>
    <definedName name="VSTS_030748b2_92c6_4881_a47f_597206505ace_10012" localSheetId="4" hidden="1">#REF!</definedName>
    <definedName name="VSTS_030748b2_92c6_4881_a47f_597206505ace_10012" hidden="1">#REF!</definedName>
    <definedName name="VSTS_030748b2_92c6_4881_a47f_597206505ace_10015" localSheetId="0" hidden="1">#REF!</definedName>
    <definedName name="VSTS_030748b2_92c6_4881_a47f_597206505ace_10015" localSheetId="4" hidden="1">#REF!</definedName>
    <definedName name="VSTS_030748b2_92c6_4881_a47f_597206505ace_10015" hidden="1">#REF!</definedName>
    <definedName name="VSTS_030748b2_92c6_4881_a47f_597206505ace_10017" localSheetId="0" hidden="1">#REF!</definedName>
    <definedName name="VSTS_030748b2_92c6_4881_a47f_597206505ace_10017" localSheetId="4" hidden="1">#REF!</definedName>
    <definedName name="VSTS_030748b2_92c6_4881_a47f_597206505ace_10017" hidden="1">#REF!</definedName>
    <definedName name="VSTS_030748b2_92c6_4881_a47f_597206505ace_2" localSheetId="0" hidden="1">#REF!</definedName>
    <definedName name="VSTS_030748b2_92c6_4881_a47f_597206505ace_2" localSheetId="4" hidden="1">#REF!</definedName>
    <definedName name="VSTS_030748b2_92c6_4881_a47f_597206505ace_2" hidden="1">#REF!</definedName>
    <definedName name="VSTS_030748b2_92c6_4881_a47f_597206505ace_24" localSheetId="0" hidden="1">#REF!</definedName>
    <definedName name="VSTS_030748b2_92c6_4881_a47f_597206505ace_24" localSheetId="4" hidden="1">#REF!</definedName>
    <definedName name="VSTS_030748b2_92c6_4881_a47f_597206505ace_24" hidden="1">#REF!</definedName>
    <definedName name="VSTS_030748b2_92c6_4881_a47f_597206505ace_25" localSheetId="0" hidden="1">#REF!</definedName>
    <definedName name="VSTS_030748b2_92c6_4881_a47f_597206505ace_25" localSheetId="4" hidden="1">#REF!</definedName>
    <definedName name="VSTS_030748b2_92c6_4881_a47f_597206505ace_25" hidden="1">#REF!</definedName>
    <definedName name="VSTS_030748b2_92c6_4881_a47f_597206505ace_32" localSheetId="0" hidden="1">#REF!</definedName>
    <definedName name="VSTS_030748b2_92c6_4881_a47f_597206505ace_32" localSheetId="4" hidden="1">#REF!</definedName>
    <definedName name="VSTS_030748b2_92c6_4881_a47f_597206505ace_32" hidden="1">#REF!</definedName>
    <definedName name="VSTS_030748b2_92c6_4881_a47f_597206505ace_33" localSheetId="0" hidden="1">#REF!</definedName>
    <definedName name="VSTS_030748b2_92c6_4881_a47f_597206505ace_33" localSheetId="4" hidden="1">#REF!</definedName>
    <definedName name="VSTS_030748b2_92c6_4881_a47f_597206505ace_33" hidden="1">#REF!</definedName>
    <definedName name="VSTS_030748b2_92c6_4881_a47f_597206505ace_n3" localSheetId="0" hidden="1">#REF!</definedName>
    <definedName name="VSTS_030748b2_92c6_4881_a47f_597206505ace_n3" localSheetId="4" hidden="1">#REF!</definedName>
    <definedName name="VSTS_030748b2_92c6_4881_a47f_597206505ace_n3" hidden="1">#REF!</definedName>
    <definedName name="VSTS_030748b2_92c6_4881_a47f_597206505ace_n7" localSheetId="0" hidden="1">#REF!</definedName>
    <definedName name="VSTS_030748b2_92c6_4881_a47f_597206505ace_n7" localSheetId="4" hidden="1">#REF!</definedName>
    <definedName name="VSTS_030748b2_92c6_4881_a47f_597206505ace_n7" hidden="1">#REF!</definedName>
    <definedName name="VSTS_5b1c20b5_c2d8_4ec8_9601_793a45620780_1" localSheetId="0" hidden="1">#REF!</definedName>
    <definedName name="VSTS_5b1c20b5_c2d8_4ec8_9601_793a45620780_1" localSheetId="4" hidden="1">#REF!</definedName>
    <definedName name="VSTS_5b1c20b5_c2d8_4ec8_9601_793a45620780_1" hidden="1">#REF!</definedName>
    <definedName name="VSTS_5b1c20b5_c2d8_4ec8_9601_793a45620780_10010" localSheetId="0" hidden="1">#REF!</definedName>
    <definedName name="VSTS_5b1c20b5_c2d8_4ec8_9601_793a45620780_10010" localSheetId="4" hidden="1">#REF!</definedName>
    <definedName name="VSTS_5b1c20b5_c2d8_4ec8_9601_793a45620780_10010" hidden="1">#REF!</definedName>
    <definedName name="VSTS_5b1c20b5_c2d8_4ec8_9601_793a45620780_10012" localSheetId="0" hidden="1">#REF!</definedName>
    <definedName name="VSTS_5b1c20b5_c2d8_4ec8_9601_793a45620780_10012" localSheetId="4" hidden="1">#REF!</definedName>
    <definedName name="VSTS_5b1c20b5_c2d8_4ec8_9601_793a45620780_10012" hidden="1">#REF!</definedName>
    <definedName name="VSTS_5b1c20b5_c2d8_4ec8_9601_793a45620780_10015" localSheetId="0" hidden="1">#REF!</definedName>
    <definedName name="VSTS_5b1c20b5_c2d8_4ec8_9601_793a45620780_10015" localSheetId="4" hidden="1">#REF!</definedName>
    <definedName name="VSTS_5b1c20b5_c2d8_4ec8_9601_793a45620780_10015" hidden="1">#REF!</definedName>
    <definedName name="VSTS_5b1c20b5_c2d8_4ec8_9601_793a45620780_10017" localSheetId="0" hidden="1">#REF!</definedName>
    <definedName name="VSTS_5b1c20b5_c2d8_4ec8_9601_793a45620780_10017" localSheetId="4" hidden="1">#REF!</definedName>
    <definedName name="VSTS_5b1c20b5_c2d8_4ec8_9601_793a45620780_10017" hidden="1">#REF!</definedName>
    <definedName name="VSTS_5b1c20b5_c2d8_4ec8_9601_793a45620780_2" localSheetId="0" hidden="1">#REF!</definedName>
    <definedName name="VSTS_5b1c20b5_c2d8_4ec8_9601_793a45620780_2" localSheetId="4" hidden="1">#REF!</definedName>
    <definedName name="VSTS_5b1c20b5_c2d8_4ec8_9601_793a45620780_2" hidden="1">#REF!</definedName>
    <definedName name="VSTS_5b1c20b5_c2d8_4ec8_9601_793a45620780_24" localSheetId="0" hidden="1">#REF!</definedName>
    <definedName name="VSTS_5b1c20b5_c2d8_4ec8_9601_793a45620780_24" localSheetId="4" hidden="1">#REF!</definedName>
    <definedName name="VSTS_5b1c20b5_c2d8_4ec8_9601_793a45620780_24" hidden="1">#REF!</definedName>
    <definedName name="VSTS_5b1c20b5_c2d8_4ec8_9601_793a45620780_25" localSheetId="0" hidden="1">#REF!</definedName>
    <definedName name="VSTS_5b1c20b5_c2d8_4ec8_9601_793a45620780_25" localSheetId="4" hidden="1">#REF!</definedName>
    <definedName name="VSTS_5b1c20b5_c2d8_4ec8_9601_793a45620780_25" hidden="1">#REF!</definedName>
    <definedName name="VSTS_5b1c20b5_c2d8_4ec8_9601_793a45620780_33" localSheetId="0" hidden="1">#REF!</definedName>
    <definedName name="VSTS_5b1c20b5_c2d8_4ec8_9601_793a45620780_33" localSheetId="4" hidden="1">#REF!</definedName>
    <definedName name="VSTS_5b1c20b5_c2d8_4ec8_9601_793a45620780_33" hidden="1">#REF!</definedName>
    <definedName name="VSTS_5b1c20b5_c2d8_4ec8_9601_793a45620780_n3" localSheetId="0" hidden="1">#REF!</definedName>
    <definedName name="VSTS_5b1c20b5_c2d8_4ec8_9601_793a45620780_n3" localSheetId="4" hidden="1">#REF!</definedName>
    <definedName name="VSTS_5b1c20b5_c2d8_4ec8_9601_793a45620780_n3" hidden="1">#REF!</definedName>
    <definedName name="VSTS_5b1c20b5_c2d8_4ec8_9601_793a45620780_n7" localSheetId="0" hidden="1">#REF!</definedName>
    <definedName name="VSTS_5b1c20b5_c2d8_4ec8_9601_793a45620780_n7" localSheetId="4" hidden="1">#REF!</definedName>
    <definedName name="VSTS_5b1c20b5_c2d8_4ec8_9601_793a45620780_n7" hidden="1">#REF!</definedName>
    <definedName name="VSTS_660fdb0e_a5ab_4e88_a329_d1aa8ecd40c6_1" localSheetId="0" hidden="1">#REF!</definedName>
    <definedName name="VSTS_660fdb0e_a5ab_4e88_a329_d1aa8ecd40c6_1" localSheetId="4" hidden="1">#REF!</definedName>
    <definedName name="VSTS_660fdb0e_a5ab_4e88_a329_d1aa8ecd40c6_1" hidden="1">#REF!</definedName>
    <definedName name="VSTS_660fdb0e_a5ab_4e88_a329_d1aa8ecd40c6_10010" localSheetId="0" hidden="1">#REF!</definedName>
    <definedName name="VSTS_660fdb0e_a5ab_4e88_a329_d1aa8ecd40c6_10010" localSheetId="4" hidden="1">#REF!</definedName>
    <definedName name="VSTS_660fdb0e_a5ab_4e88_a329_d1aa8ecd40c6_10010" hidden="1">#REF!</definedName>
    <definedName name="VSTS_660fdb0e_a5ab_4e88_a329_d1aa8ecd40c6_10012" localSheetId="0" hidden="1">#REF!</definedName>
    <definedName name="VSTS_660fdb0e_a5ab_4e88_a329_d1aa8ecd40c6_10012" localSheetId="4" hidden="1">#REF!</definedName>
    <definedName name="VSTS_660fdb0e_a5ab_4e88_a329_d1aa8ecd40c6_10012" hidden="1">#REF!</definedName>
    <definedName name="VSTS_660fdb0e_a5ab_4e88_a329_d1aa8ecd40c6_10015" localSheetId="0" hidden="1">#REF!</definedName>
    <definedName name="VSTS_660fdb0e_a5ab_4e88_a329_d1aa8ecd40c6_10015" localSheetId="4" hidden="1">#REF!</definedName>
    <definedName name="VSTS_660fdb0e_a5ab_4e88_a329_d1aa8ecd40c6_10015" hidden="1">#REF!</definedName>
    <definedName name="VSTS_660fdb0e_a5ab_4e88_a329_d1aa8ecd40c6_10017" localSheetId="0" hidden="1">#REF!</definedName>
    <definedName name="VSTS_660fdb0e_a5ab_4e88_a329_d1aa8ecd40c6_10017" localSheetId="4" hidden="1">#REF!</definedName>
    <definedName name="VSTS_660fdb0e_a5ab_4e88_a329_d1aa8ecd40c6_10017" hidden="1">#REF!</definedName>
    <definedName name="VSTS_660fdb0e_a5ab_4e88_a329_d1aa8ecd40c6_2" localSheetId="0" hidden="1">#REF!</definedName>
    <definedName name="VSTS_660fdb0e_a5ab_4e88_a329_d1aa8ecd40c6_2" localSheetId="4" hidden="1">#REF!</definedName>
    <definedName name="VSTS_660fdb0e_a5ab_4e88_a329_d1aa8ecd40c6_2" hidden="1">#REF!</definedName>
    <definedName name="VSTS_660fdb0e_a5ab_4e88_a329_d1aa8ecd40c6_24" localSheetId="0" hidden="1">#REF!</definedName>
    <definedName name="VSTS_660fdb0e_a5ab_4e88_a329_d1aa8ecd40c6_24" localSheetId="4" hidden="1">#REF!</definedName>
    <definedName name="VSTS_660fdb0e_a5ab_4e88_a329_d1aa8ecd40c6_24" hidden="1">#REF!</definedName>
    <definedName name="VSTS_660fdb0e_a5ab_4e88_a329_d1aa8ecd40c6_25" localSheetId="0" hidden="1">#REF!</definedName>
    <definedName name="VSTS_660fdb0e_a5ab_4e88_a329_d1aa8ecd40c6_25" localSheetId="4" hidden="1">#REF!</definedName>
    <definedName name="VSTS_660fdb0e_a5ab_4e88_a329_d1aa8ecd40c6_25" hidden="1">#REF!</definedName>
    <definedName name="VSTS_660fdb0e_a5ab_4e88_a329_d1aa8ecd40c6_32" localSheetId="0" hidden="1">#REF!</definedName>
    <definedName name="VSTS_660fdb0e_a5ab_4e88_a329_d1aa8ecd40c6_32" localSheetId="4" hidden="1">#REF!</definedName>
    <definedName name="VSTS_660fdb0e_a5ab_4e88_a329_d1aa8ecd40c6_32" hidden="1">#REF!</definedName>
    <definedName name="VSTS_660fdb0e_a5ab_4e88_a329_d1aa8ecd40c6_33" localSheetId="0" hidden="1">#REF!</definedName>
    <definedName name="VSTS_660fdb0e_a5ab_4e88_a329_d1aa8ecd40c6_33" localSheetId="4" hidden="1">#REF!</definedName>
    <definedName name="VSTS_660fdb0e_a5ab_4e88_a329_d1aa8ecd40c6_33" hidden="1">#REF!</definedName>
    <definedName name="VSTS_660fdb0e_a5ab_4e88_a329_d1aa8ecd40c6_n3" localSheetId="0" hidden="1">#REF!</definedName>
    <definedName name="VSTS_660fdb0e_a5ab_4e88_a329_d1aa8ecd40c6_n3" localSheetId="4" hidden="1">#REF!</definedName>
    <definedName name="VSTS_660fdb0e_a5ab_4e88_a329_d1aa8ecd40c6_n3" hidden="1">#REF!</definedName>
    <definedName name="VSTS_660fdb0e_a5ab_4e88_a329_d1aa8ecd40c6_n7" localSheetId="0" hidden="1">#REF!</definedName>
    <definedName name="VSTS_660fdb0e_a5ab_4e88_a329_d1aa8ecd40c6_n7" localSheetId="4" hidden="1">#REF!</definedName>
    <definedName name="VSTS_660fdb0e_a5ab_4e88_a329_d1aa8ecd40c6_n7" hidden="1">#REF!</definedName>
    <definedName name="VSTS_78c7fa64_8a4e_4b06_b046_4ff748524627_1" localSheetId="0" hidden="1">#REF!</definedName>
    <definedName name="VSTS_78c7fa64_8a4e_4b06_b046_4ff748524627_1" localSheetId="4" hidden="1">#REF!</definedName>
    <definedName name="VSTS_78c7fa64_8a4e_4b06_b046_4ff748524627_1" hidden="1">#REF!</definedName>
    <definedName name="VSTS_78c7fa64_8a4e_4b06_b046_4ff748524627_10010" localSheetId="0" hidden="1">#REF!</definedName>
    <definedName name="VSTS_78c7fa64_8a4e_4b06_b046_4ff748524627_10010" localSheetId="4" hidden="1">#REF!</definedName>
    <definedName name="VSTS_78c7fa64_8a4e_4b06_b046_4ff748524627_10010" hidden="1">#REF!</definedName>
    <definedName name="VSTS_78c7fa64_8a4e_4b06_b046_4ff748524627_10012" localSheetId="0" hidden="1">#REF!</definedName>
    <definedName name="VSTS_78c7fa64_8a4e_4b06_b046_4ff748524627_10012" localSheetId="4" hidden="1">#REF!</definedName>
    <definedName name="VSTS_78c7fa64_8a4e_4b06_b046_4ff748524627_10012" hidden="1">#REF!</definedName>
    <definedName name="VSTS_78c7fa64_8a4e_4b06_b046_4ff748524627_10015" localSheetId="0" hidden="1">#REF!</definedName>
    <definedName name="VSTS_78c7fa64_8a4e_4b06_b046_4ff748524627_10015" localSheetId="4" hidden="1">#REF!</definedName>
    <definedName name="VSTS_78c7fa64_8a4e_4b06_b046_4ff748524627_10015" hidden="1">#REF!</definedName>
    <definedName name="VSTS_78c7fa64_8a4e_4b06_b046_4ff748524627_10017" localSheetId="0" hidden="1">#REF!</definedName>
    <definedName name="VSTS_78c7fa64_8a4e_4b06_b046_4ff748524627_10017" localSheetId="4" hidden="1">#REF!</definedName>
    <definedName name="VSTS_78c7fa64_8a4e_4b06_b046_4ff748524627_10017" hidden="1">#REF!</definedName>
    <definedName name="VSTS_78c7fa64_8a4e_4b06_b046_4ff748524627_2" localSheetId="0" hidden="1">#REF!</definedName>
    <definedName name="VSTS_78c7fa64_8a4e_4b06_b046_4ff748524627_2" localSheetId="4" hidden="1">#REF!</definedName>
    <definedName name="VSTS_78c7fa64_8a4e_4b06_b046_4ff748524627_2" hidden="1">#REF!</definedName>
    <definedName name="VSTS_78c7fa64_8a4e_4b06_b046_4ff748524627_24" localSheetId="0" hidden="1">#REF!</definedName>
    <definedName name="VSTS_78c7fa64_8a4e_4b06_b046_4ff748524627_24" localSheetId="4" hidden="1">#REF!</definedName>
    <definedName name="VSTS_78c7fa64_8a4e_4b06_b046_4ff748524627_24" hidden="1">#REF!</definedName>
    <definedName name="VSTS_78c7fa64_8a4e_4b06_b046_4ff748524627_25" localSheetId="0" hidden="1">#REF!</definedName>
    <definedName name="VSTS_78c7fa64_8a4e_4b06_b046_4ff748524627_25" localSheetId="4" hidden="1">#REF!</definedName>
    <definedName name="VSTS_78c7fa64_8a4e_4b06_b046_4ff748524627_25" hidden="1">#REF!</definedName>
    <definedName name="VSTS_78c7fa64_8a4e_4b06_b046_4ff748524627_33" localSheetId="0" hidden="1">#REF!</definedName>
    <definedName name="VSTS_78c7fa64_8a4e_4b06_b046_4ff748524627_33" localSheetId="4" hidden="1">#REF!</definedName>
    <definedName name="VSTS_78c7fa64_8a4e_4b06_b046_4ff748524627_33" hidden="1">#REF!</definedName>
    <definedName name="VSTS_78c7fa64_8a4e_4b06_b046_4ff748524627_n3" localSheetId="0" hidden="1">#REF!</definedName>
    <definedName name="VSTS_78c7fa64_8a4e_4b06_b046_4ff748524627_n3" localSheetId="4" hidden="1">#REF!</definedName>
    <definedName name="VSTS_78c7fa64_8a4e_4b06_b046_4ff748524627_n3" hidden="1">#REF!</definedName>
    <definedName name="VSTS_78c7fa64_8a4e_4b06_b046_4ff748524627_n7" localSheetId="0" hidden="1">#REF!</definedName>
    <definedName name="VSTS_78c7fa64_8a4e_4b06_b046_4ff748524627_n7" localSheetId="4" hidden="1">#REF!</definedName>
    <definedName name="VSTS_78c7fa64_8a4e_4b06_b046_4ff748524627_n7" hidden="1">#REF!</definedName>
    <definedName name="VSTS_c02ef283_3cf7_41de_8c7a_27a30d3a38c0_1" localSheetId="0" hidden="1">#REF!</definedName>
    <definedName name="VSTS_c02ef283_3cf7_41de_8c7a_27a30d3a38c0_1" localSheetId="4" hidden="1">#REF!</definedName>
    <definedName name="VSTS_c02ef283_3cf7_41de_8c7a_27a30d3a38c0_1" hidden="1">#REF!</definedName>
    <definedName name="VSTS_c02ef283_3cf7_41de_8c7a_27a30d3a38c0_10010" localSheetId="0" hidden="1">#REF!</definedName>
    <definedName name="VSTS_c02ef283_3cf7_41de_8c7a_27a30d3a38c0_10010" localSheetId="4" hidden="1">#REF!</definedName>
    <definedName name="VSTS_c02ef283_3cf7_41de_8c7a_27a30d3a38c0_10010" hidden="1">#REF!</definedName>
    <definedName name="VSTS_c02ef283_3cf7_41de_8c7a_27a30d3a38c0_10012" localSheetId="0" hidden="1">#REF!</definedName>
    <definedName name="VSTS_c02ef283_3cf7_41de_8c7a_27a30d3a38c0_10012" localSheetId="4" hidden="1">#REF!</definedName>
    <definedName name="VSTS_c02ef283_3cf7_41de_8c7a_27a30d3a38c0_10012" hidden="1">#REF!</definedName>
    <definedName name="VSTS_c02ef283_3cf7_41de_8c7a_27a30d3a38c0_10015" localSheetId="0" hidden="1">#REF!</definedName>
    <definedName name="VSTS_c02ef283_3cf7_41de_8c7a_27a30d3a38c0_10015" localSheetId="4" hidden="1">#REF!</definedName>
    <definedName name="VSTS_c02ef283_3cf7_41de_8c7a_27a30d3a38c0_10015" hidden="1">#REF!</definedName>
    <definedName name="VSTS_c02ef283_3cf7_41de_8c7a_27a30d3a38c0_10017" localSheetId="0" hidden="1">#REF!</definedName>
    <definedName name="VSTS_c02ef283_3cf7_41de_8c7a_27a30d3a38c0_10017" localSheetId="4" hidden="1">#REF!</definedName>
    <definedName name="VSTS_c02ef283_3cf7_41de_8c7a_27a30d3a38c0_10017" hidden="1">#REF!</definedName>
    <definedName name="VSTS_c02ef283_3cf7_41de_8c7a_27a30d3a38c0_2" localSheetId="0" hidden="1">#REF!</definedName>
    <definedName name="VSTS_c02ef283_3cf7_41de_8c7a_27a30d3a38c0_2" localSheetId="4" hidden="1">#REF!</definedName>
    <definedName name="VSTS_c02ef283_3cf7_41de_8c7a_27a30d3a38c0_2" hidden="1">#REF!</definedName>
    <definedName name="VSTS_c02ef283_3cf7_41de_8c7a_27a30d3a38c0_24" localSheetId="0" hidden="1">#REF!</definedName>
    <definedName name="VSTS_c02ef283_3cf7_41de_8c7a_27a30d3a38c0_24" localSheetId="4" hidden="1">#REF!</definedName>
    <definedName name="VSTS_c02ef283_3cf7_41de_8c7a_27a30d3a38c0_24" hidden="1">#REF!</definedName>
    <definedName name="VSTS_c02ef283_3cf7_41de_8c7a_27a30d3a38c0_25" localSheetId="0" hidden="1">#REF!</definedName>
    <definedName name="VSTS_c02ef283_3cf7_41de_8c7a_27a30d3a38c0_25" localSheetId="4" hidden="1">#REF!</definedName>
    <definedName name="VSTS_c02ef283_3cf7_41de_8c7a_27a30d3a38c0_25" hidden="1">#REF!</definedName>
    <definedName name="VSTS_c02ef283_3cf7_41de_8c7a_27a30d3a38c0_32" localSheetId="0" hidden="1">#REF!</definedName>
    <definedName name="VSTS_c02ef283_3cf7_41de_8c7a_27a30d3a38c0_32" localSheetId="4" hidden="1">#REF!</definedName>
    <definedName name="VSTS_c02ef283_3cf7_41de_8c7a_27a30d3a38c0_32" hidden="1">#REF!</definedName>
    <definedName name="VSTS_c02ef283_3cf7_41de_8c7a_27a30d3a38c0_33" localSheetId="0" hidden="1">#REF!</definedName>
    <definedName name="VSTS_c02ef283_3cf7_41de_8c7a_27a30d3a38c0_33" localSheetId="4" hidden="1">#REF!</definedName>
    <definedName name="VSTS_c02ef283_3cf7_41de_8c7a_27a30d3a38c0_33" hidden="1">#REF!</definedName>
    <definedName name="VSTS_c02ef283_3cf7_41de_8c7a_27a30d3a38c0_n3" localSheetId="0" hidden="1">#REF!</definedName>
    <definedName name="VSTS_c02ef283_3cf7_41de_8c7a_27a30d3a38c0_n3" localSheetId="4" hidden="1">#REF!</definedName>
    <definedName name="VSTS_c02ef283_3cf7_41de_8c7a_27a30d3a38c0_n3" hidden="1">#REF!</definedName>
    <definedName name="VSTS_c02ef283_3cf7_41de_8c7a_27a30d3a38c0_n7" localSheetId="0" hidden="1">#REF!</definedName>
    <definedName name="VSTS_c02ef283_3cf7_41de_8c7a_27a30d3a38c0_n7" localSheetId="4" hidden="1">#REF!</definedName>
    <definedName name="VSTS_c02ef283_3cf7_41de_8c7a_27a30d3a38c0_n7" hidden="1">#REF!</definedName>
    <definedName name="VSTS_ValidationRange_0ba65edb46dd4a468cf488b6eee4138b" hidden="1">[1]VSTS_ValidationWS_1!$E$1:$E$4</definedName>
    <definedName name="VSTS_ValidationRange_631d9477cdb64b2292cbd1fa17e17097" hidden="1">[1]VSTS_ValidationWS_1!$CJ$1:$CJ$4</definedName>
    <definedName name="VSTS_ValidationRange_85d05d8fa74a4793ac7688150a4e48b3" hidden="1">[1]VSTS_ValidationWS_1!$CK$1:$CK$32</definedName>
    <definedName name="VSTS_ValidationRange_9dbea19a6f394e2e9d2ff701f1ecfd0f" hidden="1">[1]VSTS_ValidationWS_1!$CF$1:$CF$315</definedName>
    <definedName name="VSTS_ValidationRange_e8ece7738cac4207a2c4b69e19a143ad" hidden="1">[1]VSTS_ValidationWS_1!$G$1:$G$4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H8" i="14" l="1"/>
  <c r="H23" i="14"/>
  <c r="H19" i="14"/>
  <c r="H7" i="14"/>
  <c r="H6" i="14"/>
  <c r="H16" i="14"/>
  <c r="H5" i="14"/>
  <c r="H17" i="14"/>
  <c r="H20" i="14"/>
  <c r="H21" i="14"/>
  <c r="H11" i="14"/>
  <c r="H9" i="14"/>
  <c r="H24" i="14"/>
  <c r="H14" i="14"/>
  <c r="H25" i="14"/>
  <c r="H12" i="14"/>
  <c r="H18" i="14"/>
  <c r="H13" i="14"/>
  <c r="H10" i="14"/>
  <c r="H15" i="14"/>
  <c r="H22" i="14"/>
  <c r="I22" i="14" l="1"/>
  <c r="B22" i="14"/>
  <c r="I15" i="14"/>
  <c r="B15" i="14"/>
  <c r="I10" i="14"/>
  <c r="B10" i="14"/>
  <c r="I13" i="14"/>
  <c r="B13" i="14"/>
  <c r="B18" i="14"/>
  <c r="I18" i="14"/>
  <c r="I12" i="14"/>
  <c r="B12" i="14"/>
  <c r="B25" i="14"/>
  <c r="I25" i="14"/>
  <c r="B14" i="14"/>
  <c r="I14" i="14"/>
  <c r="B24" i="14"/>
  <c r="I24" i="14"/>
  <c r="I9" i="14"/>
  <c r="B9" i="14"/>
  <c r="B11" i="14"/>
  <c r="I11" i="14"/>
  <c r="B21" i="14"/>
  <c r="I21" i="14"/>
  <c r="I20" i="14"/>
  <c r="B20" i="14"/>
  <c r="B17" i="14"/>
  <c r="I17" i="14"/>
  <c r="B5" i="14"/>
  <c r="I5" i="14"/>
  <c r="I16" i="14"/>
  <c r="B16" i="14"/>
  <c r="B6" i="14"/>
  <c r="I6" i="14"/>
  <c r="I7" i="14"/>
  <c r="B7" i="14"/>
  <c r="B19" i="14"/>
  <c r="I19" i="14"/>
  <c r="B23" i="14"/>
  <c r="I23" i="14"/>
  <c r="B8" i="14"/>
  <c r="I8" i="14"/>
</calcChain>
</file>

<file path=xl/sharedStrings.xml><?xml version="1.0" encoding="utf-8"?>
<sst xmlns="http://schemas.openxmlformats.org/spreadsheetml/2006/main" count="103" uniqueCount="40">
  <si>
    <t>Execution Date</t>
  </si>
  <si>
    <t>Action</t>
  </si>
  <si>
    <t>Context</t>
  </si>
  <si>
    <t>Message Type</t>
  </si>
  <si>
    <t>Message</t>
  </si>
  <si>
    <t>Relation</t>
  </si>
  <si>
    <t>Instance</t>
  </si>
  <si>
    <t>Semantic</t>
  </si>
  <si>
    <t>Order</t>
  </si>
  <si>
    <t>Field Title</t>
  </si>
  <si>
    <t>Field Name</t>
  </si>
  <si>
    <t>tmd Statement</t>
  </si>
  <si>
    <t>Param(Value)</t>
  </si>
  <si>
    <t>Stop On(#)</t>
  </si>
  <si>
    <t>Metadata(Field, Index)</t>
  </si>
  <si>
    <t>Cover</t>
  </si>
  <si>
    <t>Timestamp</t>
  </si>
  <si>
    <t>Label</t>
  </si>
  <si>
    <t>Date Last Updated</t>
  </si>
  <si>
    <t>Build Version</t>
  </si>
  <si>
    <t>Last File Uploaded</t>
  </si>
  <si>
    <t>Group</t>
  </si>
  <si>
    <t>Filename</t>
  </si>
  <si>
    <t>File Type</t>
  </si>
  <si>
    <t>Header</t>
  </si>
  <si>
    <t>ConfigFile</t>
  </si>
  <si>
    <t>ErrorFile</t>
  </si>
  <si>
    <t>ErrorFileSep(;)</t>
  </si>
  <si>
    <t>ConfigFileSep(:)</t>
  </si>
  <si>
    <t>Team</t>
  </si>
  <si>
    <t>Assignment</t>
  </si>
  <si>
    <t>Parameter</t>
  </si>
  <si>
    <t>Parameter (N)</t>
  </si>
  <si>
    <t>Descriptor</t>
  </si>
  <si>
    <t>Config</t>
  </si>
  <si>
    <t>Value</t>
  </si>
  <si>
    <t>Value (N)</t>
  </si>
  <si>
    <t>Epoch</t>
  </si>
  <si>
    <t>Error Tr</t>
  </si>
  <si>
    <t>Error Val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</si>
</sst>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" x14ac:knownFonts="1">
    <font>
      <sz val="11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C000"/>
        <bgColor indexed="64"/>
      </patternFill>
    </fill>
  </fills>
  <borders count="3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</borders>
  <cellStyleXfs count="1">
    <xf numFmtId="0" fontId="0" fillId="0" borderId="0"/>
  </cellStyleXfs>
  <cellXfs count="15">
    <xf numFmtId="0" fontId="0" fillId="0" borderId="0" xfId="0"/>
    <xf numFmtId="0" fontId="0" fillId="0" borderId="0" xfId="0" applyNumberFormat="1"/>
    <xf numFmtId="0" fontId="0" fillId="0" borderId="0" xfId="0" applyNumberFormat="1" applyAlignment="1">
      <alignment wrapText="1"/>
    </xf>
    <xf numFmtId="22" fontId="0" fillId="0" borderId="0" xfId="0" applyNumberFormat="1"/>
    <xf numFmtId="0" fontId="0" fillId="2" borderId="0" xfId="0" applyFill="1"/>
    <xf numFmtId="0" fontId="0" fillId="0" borderId="1" xfId="0" applyBorder="1"/>
    <xf numFmtId="22" fontId="0" fillId="0" borderId="1" xfId="0" applyNumberFormat="1" applyBorder="1" applyAlignment="1">
      <alignment horizontal="center"/>
    </xf>
    <xf numFmtId="0" fontId="0" fillId="0" borderId="2" xfId="0" applyBorder="1"/>
    <xf numFmtId="0" fontId="0" fillId="0" borderId="1" xfId="0" applyBorder="1" applyAlignment="1">
      <alignment horizontal="center"/>
    </xf>
    <xf numFmtId="49" fontId="0" fillId="0" borderId="0" xfId="0" applyNumberFormat="1"/>
    <xf numFmtId="0" fontId="0" fillId="0" borderId="0" xfId="0" applyAlignment="1">
      <alignment horizontal="left" vertical="top"/>
    </xf>
    <xf numFmtId="0" fontId="0" fillId="0" borderId="0" xfId="0" applyAlignment="1">
      <alignment horizontal="left" vertical="center" wrapText="1"/>
    </xf>
    <xf numFmtId="0" fontId="0" fillId="0" borderId="0" xfId="0" applyAlignment="1">
      <alignment horizontal="left" vertical="top" wrapText="1"/>
    </xf>
    <xf numFmtId="0" fontId="0" fillId="0" borderId="0" xfId="0" applyAlignment="1">
      <alignment vertical="center"/>
    </xf>
    <xf numFmtId="49" fontId="0" fillId="0" borderId="0" xfId="0" applyNumberFormat="1" applyAlignment="1">
      <alignment horizontal="center" vertical="center"/>
    </xf>
  </cellXfs>
  <cellStyles count="1">
    <cellStyle name="Normal" xfId="0" builtinId="0"/>
  </cellStyles>
  <dxfs count="11">
    <dxf>
      <numFmt numFmtId="0" formatCode="General"/>
    </dxf>
    <dxf>
      <numFmt numFmtId="0" formatCode="General"/>
    </dxf>
    <dxf>
      <numFmt numFmtId="0" formatCode="General"/>
      <alignment horizontal="general" vertical="bottom" textRotation="0" wrapText="1" indent="0" justifyLastLine="0" shrinkToFit="0" readingOrder="0"/>
    </dxf>
    <dxf>
      <numFmt numFmtId="0" formatCode="General"/>
    </dxf>
    <dxf>
      <alignment vertical="center" textRotation="0" indent="0" justifyLastLine="0" shrinkToFit="0" readingOrder="0"/>
    </dxf>
    <dxf>
      <alignment vertical="center" textRotation="0" indent="0" justifyLastLine="0" shrinkToFit="0" readingOrder="0"/>
    </dxf>
    <dxf>
      <alignment horizontal="left" vertical="top" textRotation="0" wrapText="1" indent="0" justifyLastLine="0" shrinkToFit="0" readingOrder="0"/>
    </dxf>
    <dxf>
      <alignment horizontal="left" vertical="center" textRotation="0" wrapText="1" indent="0" justifyLastLine="0" shrinkToFit="0" readingOrder="0"/>
    </dxf>
    <dxf>
      <alignment vertical="center" textRotation="0" indent="0" justifyLastLine="0" shrinkToFit="0" readingOrder="0"/>
    </dxf>
    <dxf>
      <numFmt numFmtId="30" formatCode="@"/>
      <alignment horizontal="center" vertical="center" textRotation="0" wrapText="0" indent="0" justifyLastLine="0" shrinkToFit="0" readingOrder="0"/>
    </dxf>
    <dxf>
      <alignment vertical="center" textRotation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Progressão de Erro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'Error Files'!$F$1</c:f>
              <c:strCache>
                <c:ptCount val="1"/>
                <c:pt idx="0">
                  <c:v>Error Tr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'Error Files'!$E$2:$E$2</c:f>
              <c:numCache>
                <c:formatCode>General</c:formatCode>
                <c:ptCount val="1"/>
              </c:numCache>
            </c:numRef>
          </c:cat>
          <c:val>
            <c:numRef>
              <c:f>'Error Files'!$F$2:$F$2</c:f>
              <c:numCache>
                <c:formatCode>General</c:formatCode>
                <c:ptCount val="1"/>
              </c:numCache>
            </c:numRef>
          </c:val>
          <c:smooth val="0"/>
        </c:ser>
        <c:ser>
          <c:idx val="1"/>
          <c:order val="1"/>
          <c:tx>
            <c:strRef>
              <c:f>'Error Files'!$G$1</c:f>
              <c:strCache>
                <c:ptCount val="1"/>
                <c:pt idx="0">
                  <c:v>Error Val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'Error Files'!$E$2:$E$2</c:f>
              <c:numCache>
                <c:formatCode>General</c:formatCode>
                <c:ptCount val="1"/>
              </c:numCache>
            </c:numRef>
          </c:cat>
          <c:val>
            <c:numRef>
              <c:f>'Error Files'!$G$2:$G$2</c:f>
              <c:numCache>
                <c:formatCode>General</c:formatCode>
                <c:ptCount val="1"/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27263896"/>
        <c:axId val="327261152"/>
      </c:lineChart>
      <c:catAx>
        <c:axId val="327263896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Época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27261152"/>
        <c:crosses val="autoZero"/>
        <c:auto val="1"/>
        <c:lblAlgn val="ctr"/>
        <c:lblOffset val="100"/>
        <c:noMultiLvlLbl val="0"/>
      </c:catAx>
      <c:valAx>
        <c:axId val="3272611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Erro Quadrático Médio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272638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19050</xdr:colOff>
      <xdr:row>1</xdr:row>
      <xdr:rowOff>0</xdr:rowOff>
    </xdr:from>
    <xdr:to>
      <xdr:col>13</xdr:col>
      <xdr:colOff>19050</xdr:colOff>
      <xdr:row>23</xdr:row>
      <xdr:rowOff>161924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Andre\Google%20Drive\My%20Toolboxes\My%20VBA%20Toolbox\Assets\Planning%20Assets\EFRAv2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ventory"/>
      <sheetName val="Artifact Type &amp; Effort"/>
      <sheetName val="Resources"/>
      <sheetName val="Artifact Resources"/>
      <sheetName val="Detailed Allocation"/>
      <sheetName val="Test Work Packages"/>
      <sheetName val="Test Scenarios"/>
      <sheetName val="Test Conditions"/>
      <sheetName val="Sheet14"/>
      <sheetName val="Sheet12"/>
      <sheetName val="Defects"/>
      <sheetName val="DM Views"/>
      <sheetName val="TL Views"/>
      <sheetName val="PMO Views"/>
      <sheetName val="Relations"/>
      <sheetName val="DQ Report"/>
      <sheetName val="owssvr_Inventory"/>
      <sheetName val="owssvr_TimeReport"/>
      <sheetName val="owssvr_PlannedAbsence"/>
      <sheetName val="owssvr_Baseline"/>
      <sheetName val="owssvr_TestScenarios"/>
      <sheetName val="owssvr_TestConditions"/>
      <sheetName val="BWO"/>
      <sheetName val="VSTS_ValidationWS_1"/>
      <sheetName val="p2emap_ProjectPlan"/>
      <sheetName val="owssvr_TestSteps"/>
      <sheetName val="tfssvr_Defects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>
        <row r="1">
          <cell r="E1" t="str">
            <v>Closed</v>
          </cell>
          <cell r="CF1" t="str">
            <v>\</v>
          </cell>
          <cell r="CJ1">
            <v>1</v>
          </cell>
          <cell r="CK1" t="str">
            <v>adm crm</v>
          </cell>
        </row>
        <row r="2">
          <cell r="E2" t="str">
            <v>Fixing</v>
          </cell>
          <cell r="G2" t="str">
            <v>&lt;None&gt;</v>
          </cell>
          <cell r="CF2" t="str">
            <v>\TWP01</v>
          </cell>
          <cell r="CJ2">
            <v>2</v>
          </cell>
          <cell r="CK2" t="str">
            <v>Ahmed Sebtasy (c)</v>
          </cell>
        </row>
        <row r="3">
          <cell r="E3" t="str">
            <v>NMI for Triage</v>
          </cell>
          <cell r="G3" t="str">
            <v>CRM</v>
          </cell>
          <cell r="CF3" t="str">
            <v>\TWP01\TS01</v>
          </cell>
          <cell r="CJ3">
            <v>3</v>
          </cell>
          <cell r="CK3" t="str">
            <v>Andre Lima</v>
          </cell>
        </row>
        <row r="4">
          <cell r="E4" t="str">
            <v>Triage</v>
          </cell>
          <cell r="G4" t="str">
            <v>ETL</v>
          </cell>
          <cell r="CF4" t="str">
            <v>\TWP01\TS02</v>
          </cell>
          <cell r="CJ4">
            <v>4</v>
          </cell>
          <cell r="CK4" t="str">
            <v>Carlos Pinto</v>
          </cell>
        </row>
        <row r="5">
          <cell r="CF5" t="str">
            <v>\TWP01\TS03</v>
          </cell>
          <cell r="CK5" t="str">
            <v>Carolina Camargo Gonçalves</v>
          </cell>
        </row>
        <row r="6">
          <cell r="CF6" t="str">
            <v>\TWP01\TS04</v>
          </cell>
          <cell r="CK6" t="str">
            <v>Celio Santos Franca</v>
          </cell>
        </row>
        <row r="7">
          <cell r="CF7" t="str">
            <v>\TWP01\TS05</v>
          </cell>
          <cell r="CK7" t="str">
            <v>Cesar Carvalho da Silva Prado</v>
          </cell>
        </row>
        <row r="8">
          <cell r="CF8" t="str">
            <v>\TWP01\TS06</v>
          </cell>
          <cell r="CK8" t="str">
            <v>Cícero Marcelo Trindade Lins</v>
          </cell>
        </row>
        <row r="9">
          <cell r="CF9" t="str">
            <v>\TWP01\TS07</v>
          </cell>
          <cell r="CK9" t="str">
            <v>Demetrio Rafael Neri Costa</v>
          </cell>
        </row>
        <row r="10">
          <cell r="CF10" t="str">
            <v>\TWP01\TS08</v>
          </cell>
          <cell r="CK10" t="str">
            <v>Diego Rabelo dos Santos</v>
          </cell>
        </row>
        <row r="11">
          <cell r="CF11" t="str">
            <v>\TWP01\TS09</v>
          </cell>
          <cell r="CK11" t="str">
            <v>Douglas Masson Soares</v>
          </cell>
        </row>
        <row r="12">
          <cell r="CF12" t="str">
            <v>\TWP01\TS10</v>
          </cell>
          <cell r="CK12" t="str">
            <v>Elvis Oliveira Gabriel</v>
          </cell>
        </row>
        <row r="13">
          <cell r="CF13" t="str">
            <v>\TWP01\TS11</v>
          </cell>
          <cell r="CK13" t="str">
            <v>Eric Vercellino Sartoreli</v>
          </cell>
        </row>
        <row r="14">
          <cell r="CF14" t="str">
            <v>\TWP02</v>
          </cell>
          <cell r="CK14" t="str">
            <v>Everton Gomes</v>
          </cell>
        </row>
        <row r="15">
          <cell r="CF15" t="str">
            <v>\TWP02\TS01</v>
          </cell>
          <cell r="CK15" t="str">
            <v>Fabio Castilho</v>
          </cell>
        </row>
        <row r="16">
          <cell r="CF16" t="str">
            <v>\TWP02\TS02</v>
          </cell>
          <cell r="CK16" t="str">
            <v>Gabriela Leão de Araujo Magalhães</v>
          </cell>
        </row>
        <row r="17">
          <cell r="CF17" t="str">
            <v>\TWP02\TS03</v>
          </cell>
          <cell r="CK17" t="str">
            <v>Gustavo Falcão Mello</v>
          </cell>
        </row>
        <row r="18">
          <cell r="CF18" t="str">
            <v>\TWP02\TS04</v>
          </cell>
          <cell r="CK18" t="str">
            <v>Jaime Correia</v>
          </cell>
        </row>
        <row r="19">
          <cell r="CF19" t="str">
            <v>\TWP02\TS05</v>
          </cell>
          <cell r="CK19" t="str">
            <v>Juliano de Moraes Bassetto</v>
          </cell>
        </row>
        <row r="20">
          <cell r="CF20" t="str">
            <v>\TWP03</v>
          </cell>
          <cell r="CK20" t="str">
            <v>Leticia Alves Gomes</v>
          </cell>
        </row>
        <row r="21">
          <cell r="CF21" t="str">
            <v>\TWP03\TS01</v>
          </cell>
          <cell r="CK21" t="str">
            <v>Luciana Diniz Gonçalves dos Santos</v>
          </cell>
        </row>
        <row r="22">
          <cell r="CF22" t="str">
            <v>\TWP03\TS02</v>
          </cell>
          <cell r="CK22" t="str">
            <v>Marcelo Augusto Custode Mejia</v>
          </cell>
        </row>
        <row r="23">
          <cell r="CF23" t="str">
            <v>\TWP03\TS03</v>
          </cell>
          <cell r="CK23" t="str">
            <v>Pedro Henrique de Lima Gomes</v>
          </cell>
        </row>
        <row r="24">
          <cell r="CF24" t="str">
            <v>\TWP04</v>
          </cell>
          <cell r="CK24" t="str">
            <v>rachel.gomes</v>
          </cell>
        </row>
        <row r="25">
          <cell r="CF25" t="str">
            <v>\TWP04\TS01</v>
          </cell>
          <cell r="CK25" t="str">
            <v>Rosimeire Ferreira Da Silva</v>
          </cell>
        </row>
        <row r="26">
          <cell r="CF26" t="str">
            <v>\TWP04\TS02</v>
          </cell>
          <cell r="CK26" t="str">
            <v>Samuel Antonio Cavichiolli</v>
          </cell>
        </row>
        <row r="27">
          <cell r="CF27" t="str">
            <v>\TWP04\TS03</v>
          </cell>
          <cell r="CK27" t="str">
            <v>Sandra Mota</v>
          </cell>
        </row>
        <row r="28">
          <cell r="CF28" t="str">
            <v>\TWP04\TS04</v>
          </cell>
          <cell r="CK28" t="str">
            <v>Super Vinay Agrawal</v>
          </cell>
        </row>
        <row r="29">
          <cell r="CF29" t="str">
            <v>\TWP04\TS05</v>
          </cell>
          <cell r="CK29" t="str">
            <v>Tarcisio Vilas Boas</v>
          </cell>
        </row>
        <row r="30">
          <cell r="CF30" t="str">
            <v>\TWP04\TS06</v>
          </cell>
          <cell r="CK30" t="str">
            <v>Thiago Roberto Fernandes Novelli</v>
          </cell>
        </row>
        <row r="31">
          <cell r="CF31" t="str">
            <v>\TWP04\TS07</v>
          </cell>
          <cell r="CK31" t="str">
            <v>Urick Loureiro</v>
          </cell>
        </row>
        <row r="32">
          <cell r="CF32" t="str">
            <v>\TWP04\TS08</v>
          </cell>
          <cell r="CK32" t="str">
            <v>Victor Hugo Carvalho De Amorim</v>
          </cell>
        </row>
        <row r="33">
          <cell r="CF33" t="str">
            <v>\TWP05</v>
          </cell>
        </row>
        <row r="34">
          <cell r="CF34" t="str">
            <v>\TWP05\TS01</v>
          </cell>
        </row>
        <row r="35">
          <cell r="CF35" t="str">
            <v>\TWP05\TS02</v>
          </cell>
        </row>
        <row r="36">
          <cell r="CF36" t="str">
            <v>\TWP05\TS03</v>
          </cell>
        </row>
        <row r="37">
          <cell r="CF37" t="str">
            <v>\TWP05\TS04</v>
          </cell>
        </row>
        <row r="38">
          <cell r="CF38" t="str">
            <v>\TWP05\TS05</v>
          </cell>
        </row>
        <row r="39">
          <cell r="CF39" t="str">
            <v>\TWP06</v>
          </cell>
        </row>
        <row r="40">
          <cell r="CF40" t="str">
            <v>\TWP06\TS01</v>
          </cell>
        </row>
        <row r="41">
          <cell r="CF41" t="str">
            <v>\TWP06\TS02</v>
          </cell>
        </row>
        <row r="42">
          <cell r="CF42" t="str">
            <v>\TWP06\TS03</v>
          </cell>
        </row>
        <row r="43">
          <cell r="CF43" t="str">
            <v>\TWP06\TS04</v>
          </cell>
        </row>
        <row r="44">
          <cell r="CF44" t="str">
            <v>\TWP07</v>
          </cell>
        </row>
        <row r="45">
          <cell r="CF45" t="str">
            <v>\TWP07\TS01</v>
          </cell>
        </row>
        <row r="46">
          <cell r="CF46" t="str">
            <v>\TWP07\TS02</v>
          </cell>
        </row>
        <row r="47">
          <cell r="CF47" t="str">
            <v>\TWP07\TS03</v>
          </cell>
        </row>
        <row r="48">
          <cell r="CF48" t="str">
            <v>\TWP07\TS04</v>
          </cell>
        </row>
        <row r="49">
          <cell r="CF49" t="str">
            <v>\TWP08</v>
          </cell>
        </row>
        <row r="50">
          <cell r="CF50" t="str">
            <v>\TWP08\TS01</v>
          </cell>
        </row>
        <row r="51">
          <cell r="CF51" t="str">
            <v>\TWP08\TS02</v>
          </cell>
        </row>
        <row r="52">
          <cell r="CF52" t="str">
            <v>\TWP08\TS03</v>
          </cell>
        </row>
        <row r="53">
          <cell r="CF53" t="str">
            <v>\TWP08\TS04</v>
          </cell>
        </row>
        <row r="54">
          <cell r="CF54" t="str">
            <v>\TWP08\TS05</v>
          </cell>
        </row>
        <row r="55">
          <cell r="CF55" t="str">
            <v>\TWP08\TS06</v>
          </cell>
        </row>
        <row r="56">
          <cell r="CF56" t="str">
            <v>\TWP08\TS07</v>
          </cell>
        </row>
        <row r="57">
          <cell r="CF57" t="str">
            <v>\TWP08\TS08</v>
          </cell>
        </row>
        <row r="58">
          <cell r="CF58" t="str">
            <v>\TWP08\TS09</v>
          </cell>
        </row>
        <row r="59">
          <cell r="CF59" t="str">
            <v>\TWP08\TS10</v>
          </cell>
        </row>
        <row r="60">
          <cell r="CF60" t="str">
            <v>\TWP08\TS11</v>
          </cell>
        </row>
        <row r="61">
          <cell r="CF61" t="str">
            <v>\TWP08\TS12</v>
          </cell>
        </row>
        <row r="62">
          <cell r="CF62" t="str">
            <v>\TWP08\TS13</v>
          </cell>
        </row>
        <row r="63">
          <cell r="CF63" t="str">
            <v>\TWP09</v>
          </cell>
        </row>
        <row r="64">
          <cell r="CF64" t="str">
            <v>\TWP09\TS01</v>
          </cell>
        </row>
        <row r="65">
          <cell r="CF65" t="str">
            <v>\TWP09\TS02</v>
          </cell>
        </row>
        <row r="66">
          <cell r="CF66" t="str">
            <v>\TWP09\TS03</v>
          </cell>
        </row>
        <row r="67">
          <cell r="CF67" t="str">
            <v>\TWP09\TS04</v>
          </cell>
        </row>
        <row r="68">
          <cell r="CF68" t="str">
            <v>\TWP09\TS05</v>
          </cell>
        </row>
        <row r="69">
          <cell r="CF69" t="str">
            <v>\TWP10</v>
          </cell>
        </row>
        <row r="70">
          <cell r="CF70" t="str">
            <v>\TWP10\TS01</v>
          </cell>
        </row>
        <row r="71">
          <cell r="CF71" t="str">
            <v>\TWP10\TS02</v>
          </cell>
        </row>
        <row r="72">
          <cell r="CF72" t="str">
            <v>\TWP10\TS03</v>
          </cell>
        </row>
        <row r="73">
          <cell r="CF73" t="str">
            <v>\TWP11</v>
          </cell>
        </row>
        <row r="74">
          <cell r="CF74" t="str">
            <v>\TWP11\TS01</v>
          </cell>
        </row>
        <row r="75">
          <cell r="CF75" t="str">
            <v>\TWP11\TS02</v>
          </cell>
        </row>
        <row r="76">
          <cell r="CF76" t="str">
            <v>\TWP11\TS03</v>
          </cell>
        </row>
        <row r="77">
          <cell r="CF77" t="str">
            <v>\TWP11\TS04</v>
          </cell>
        </row>
        <row r="78">
          <cell r="CF78" t="str">
            <v>\TWP11\TS05</v>
          </cell>
        </row>
        <row r="79">
          <cell r="CF79" t="str">
            <v>\TWP11\TS06</v>
          </cell>
        </row>
        <row r="80">
          <cell r="CF80" t="str">
            <v>\TWP12</v>
          </cell>
        </row>
        <row r="81">
          <cell r="CF81" t="str">
            <v>\TWP12\TS01</v>
          </cell>
        </row>
        <row r="82">
          <cell r="CF82" t="str">
            <v>\TWP12\TS02</v>
          </cell>
        </row>
        <row r="83">
          <cell r="CF83" t="str">
            <v>\TWP12\TS03</v>
          </cell>
        </row>
        <row r="84">
          <cell r="CF84" t="str">
            <v>\TWP12\TS04</v>
          </cell>
        </row>
        <row r="85">
          <cell r="CF85" t="str">
            <v>\TWP12\TS05</v>
          </cell>
        </row>
        <row r="86">
          <cell r="CF86" t="str">
            <v>\TWP12\TS06</v>
          </cell>
        </row>
        <row r="87">
          <cell r="CF87" t="str">
            <v>\TWP12\TS07</v>
          </cell>
        </row>
        <row r="88">
          <cell r="CF88" t="str">
            <v>\TWP14</v>
          </cell>
        </row>
        <row r="89">
          <cell r="CF89" t="str">
            <v>\TWP14\TS01</v>
          </cell>
        </row>
        <row r="90">
          <cell r="CF90" t="str">
            <v>\TWP14\TS02</v>
          </cell>
        </row>
        <row r="91">
          <cell r="CF91" t="str">
            <v>\TWP14\TS03</v>
          </cell>
        </row>
        <row r="92">
          <cell r="CF92" t="str">
            <v>\TWP15</v>
          </cell>
        </row>
        <row r="93">
          <cell r="CF93" t="str">
            <v>\TWP15\TS01</v>
          </cell>
        </row>
        <row r="94">
          <cell r="CF94" t="str">
            <v>\TWP15\TS02</v>
          </cell>
        </row>
        <row r="95">
          <cell r="CF95" t="str">
            <v>\TWP15\TS03</v>
          </cell>
        </row>
        <row r="96">
          <cell r="CF96" t="str">
            <v>\TWP15\TS04</v>
          </cell>
        </row>
        <row r="97">
          <cell r="CF97" t="str">
            <v>\TWP15\TS05</v>
          </cell>
        </row>
        <row r="98">
          <cell r="CF98" t="str">
            <v>\TWP15\TS06</v>
          </cell>
        </row>
        <row r="99">
          <cell r="CF99" t="str">
            <v>\TWP15\TS07</v>
          </cell>
        </row>
        <row r="100">
          <cell r="CF100" t="str">
            <v>\TWP15\TS08</v>
          </cell>
        </row>
        <row r="101">
          <cell r="CF101" t="str">
            <v>\TWP15\TS09</v>
          </cell>
        </row>
        <row r="102">
          <cell r="CF102" t="str">
            <v>\TWP15\TS10</v>
          </cell>
        </row>
        <row r="103">
          <cell r="CF103" t="str">
            <v>\TWP15\TS11</v>
          </cell>
        </row>
        <row r="104">
          <cell r="CF104" t="str">
            <v>\TWP15\TS12</v>
          </cell>
        </row>
        <row r="105">
          <cell r="CF105" t="str">
            <v>\TWP15\TS13</v>
          </cell>
        </row>
        <row r="106">
          <cell r="CF106" t="str">
            <v>\TWP15\TS14</v>
          </cell>
        </row>
        <row r="107">
          <cell r="CF107" t="str">
            <v>\TWP15\TS15</v>
          </cell>
        </row>
        <row r="108">
          <cell r="CF108" t="str">
            <v>\TWP15\TS16</v>
          </cell>
        </row>
        <row r="109">
          <cell r="CF109" t="str">
            <v>\TWP15\TS17</v>
          </cell>
        </row>
        <row r="110">
          <cell r="CF110" t="str">
            <v>\TWP15\ts18</v>
          </cell>
        </row>
        <row r="111">
          <cell r="CF111" t="str">
            <v>\TWP15\TS19</v>
          </cell>
        </row>
        <row r="112">
          <cell r="CF112" t="str">
            <v>\TWP15\TS20</v>
          </cell>
        </row>
        <row r="113">
          <cell r="CF113" t="str">
            <v>\TWP15\TS21</v>
          </cell>
        </row>
        <row r="114">
          <cell r="CF114" t="str">
            <v>\TWP15\TS22</v>
          </cell>
        </row>
        <row r="115">
          <cell r="CF115" t="str">
            <v>\TWP15\TS23</v>
          </cell>
        </row>
        <row r="116">
          <cell r="CF116" t="str">
            <v>\TWP15\TS24</v>
          </cell>
        </row>
        <row r="117">
          <cell r="CF117" t="str">
            <v>\TWP15\TS25</v>
          </cell>
        </row>
        <row r="118">
          <cell r="CF118" t="str">
            <v>\TWP15\TS26</v>
          </cell>
        </row>
        <row r="119">
          <cell r="CF119" t="str">
            <v>\TWP15\TS27</v>
          </cell>
        </row>
        <row r="120">
          <cell r="CF120" t="str">
            <v>\TWP21</v>
          </cell>
        </row>
        <row r="121">
          <cell r="CF121" t="str">
            <v>\TWP21\TS01</v>
          </cell>
        </row>
        <row r="122">
          <cell r="CF122" t="str">
            <v>\TWP21\TS02</v>
          </cell>
        </row>
        <row r="123">
          <cell r="CF123" t="str">
            <v>\TWP21\TS03</v>
          </cell>
        </row>
        <row r="124">
          <cell r="CF124" t="str">
            <v>\TWP21\TS04</v>
          </cell>
        </row>
        <row r="125">
          <cell r="CF125" t="str">
            <v>\TWP21\TS05</v>
          </cell>
        </row>
        <row r="126">
          <cell r="CF126" t="str">
            <v>\TWP21\TS06</v>
          </cell>
        </row>
        <row r="127">
          <cell r="CF127" t="str">
            <v>\TWP21\TS07</v>
          </cell>
        </row>
        <row r="128">
          <cell r="CF128" t="str">
            <v>\TWP21\TS08</v>
          </cell>
        </row>
        <row r="129">
          <cell r="CF129" t="str">
            <v>\TWP21\TS09</v>
          </cell>
        </row>
        <row r="130">
          <cell r="CF130" t="str">
            <v>\TWP21\TS10</v>
          </cell>
        </row>
        <row r="131">
          <cell r="CF131" t="str">
            <v>\TWP21\TS11</v>
          </cell>
        </row>
        <row r="132">
          <cell r="CF132" t="str">
            <v>\TWP21\TS12</v>
          </cell>
        </row>
        <row r="133">
          <cell r="CF133" t="str">
            <v>\TWP21\TS13</v>
          </cell>
        </row>
        <row r="134">
          <cell r="CF134" t="str">
            <v>\TWP21\TS14</v>
          </cell>
        </row>
        <row r="135">
          <cell r="CF135" t="str">
            <v>\TWP21\TS15</v>
          </cell>
        </row>
        <row r="136">
          <cell r="CF136" t="str">
            <v>\TWP21\TS16</v>
          </cell>
        </row>
        <row r="137">
          <cell r="CF137" t="str">
            <v>\TWP21\TS17</v>
          </cell>
        </row>
        <row r="138">
          <cell r="CF138" t="str">
            <v>\TWP21\TS18</v>
          </cell>
        </row>
        <row r="139">
          <cell r="CF139" t="str">
            <v>\TWP21\TS19</v>
          </cell>
        </row>
        <row r="140">
          <cell r="CF140" t="str">
            <v>\TWP21\TS20</v>
          </cell>
        </row>
        <row r="141">
          <cell r="CF141" t="str">
            <v>\TWP21\TS21</v>
          </cell>
        </row>
        <row r="142">
          <cell r="CF142" t="str">
            <v>\TWP21\TS22</v>
          </cell>
        </row>
        <row r="143">
          <cell r="CF143" t="str">
            <v>\TWP21\TS23</v>
          </cell>
        </row>
        <row r="144">
          <cell r="CF144" t="str">
            <v>\TWP21\TS24</v>
          </cell>
        </row>
        <row r="145">
          <cell r="CF145" t="str">
            <v>\TWP21\TS25</v>
          </cell>
        </row>
        <row r="146">
          <cell r="CF146" t="str">
            <v>\TWP21\TS26</v>
          </cell>
        </row>
        <row r="147">
          <cell r="CF147" t="str">
            <v>\TWP22</v>
          </cell>
        </row>
        <row r="148">
          <cell r="CF148" t="str">
            <v>\TWP22\TS01</v>
          </cell>
        </row>
        <row r="149">
          <cell r="CF149" t="str">
            <v>\TWP22\TS02</v>
          </cell>
        </row>
        <row r="150">
          <cell r="CF150" t="str">
            <v>\TWP22\TS03</v>
          </cell>
        </row>
        <row r="151">
          <cell r="CF151" t="str">
            <v>\TWP22\TS04</v>
          </cell>
        </row>
        <row r="152">
          <cell r="CF152" t="str">
            <v>\TWP22\TS05</v>
          </cell>
        </row>
        <row r="153">
          <cell r="CF153" t="str">
            <v>\TWP22\TS06</v>
          </cell>
        </row>
        <row r="154">
          <cell r="CF154" t="str">
            <v>\TWP22\TS07</v>
          </cell>
        </row>
        <row r="155">
          <cell r="CF155" t="str">
            <v>\TWP22\TS08</v>
          </cell>
        </row>
        <row r="156">
          <cell r="CF156" t="str">
            <v>\TWP22\TS09</v>
          </cell>
        </row>
        <row r="157">
          <cell r="CF157" t="str">
            <v>\TWP22\TS10</v>
          </cell>
        </row>
        <row r="158">
          <cell r="CF158" t="str">
            <v>\TWP22\TS11</v>
          </cell>
        </row>
        <row r="159">
          <cell r="CF159" t="str">
            <v>\TWP22\TS12</v>
          </cell>
        </row>
        <row r="160">
          <cell r="CF160" t="str">
            <v>\TWP22\TS13</v>
          </cell>
        </row>
        <row r="161">
          <cell r="CF161" t="str">
            <v>\TWP22\TS14</v>
          </cell>
        </row>
        <row r="162">
          <cell r="CF162" t="str">
            <v>\TWP22\TS15</v>
          </cell>
        </row>
        <row r="163">
          <cell r="CF163" t="str">
            <v>\TWP22\TS16</v>
          </cell>
        </row>
        <row r="164">
          <cell r="CF164" t="str">
            <v>\TWP22\TS17</v>
          </cell>
        </row>
        <row r="165">
          <cell r="CF165" t="str">
            <v>\TWP22\TS18</v>
          </cell>
        </row>
        <row r="166">
          <cell r="CF166" t="str">
            <v>\TWP22\TS19</v>
          </cell>
        </row>
        <row r="167">
          <cell r="CF167" t="str">
            <v>\TWP22\TS20</v>
          </cell>
        </row>
        <row r="168">
          <cell r="CF168" t="str">
            <v>\TWP22\TS21</v>
          </cell>
        </row>
        <row r="169">
          <cell r="CF169" t="str">
            <v>\TWP22\TS22</v>
          </cell>
        </row>
        <row r="170">
          <cell r="CF170" t="str">
            <v>\TWP23</v>
          </cell>
        </row>
        <row r="171">
          <cell r="CF171" t="str">
            <v>\TWP23\TS01</v>
          </cell>
        </row>
        <row r="172">
          <cell r="CF172" t="str">
            <v>\TWP23\TS02</v>
          </cell>
        </row>
        <row r="173">
          <cell r="CF173" t="str">
            <v>\TWP23\TS03</v>
          </cell>
        </row>
        <row r="174">
          <cell r="CF174" t="str">
            <v>\TWP23\TS04</v>
          </cell>
        </row>
        <row r="175">
          <cell r="CF175" t="str">
            <v>\TWP23\TS05</v>
          </cell>
        </row>
        <row r="176">
          <cell r="CF176" t="str">
            <v>\TWP23\TS06</v>
          </cell>
        </row>
        <row r="177">
          <cell r="CF177" t="str">
            <v>\TWP23\TS07</v>
          </cell>
        </row>
        <row r="178">
          <cell r="CF178" t="str">
            <v>\TWP23\TS08</v>
          </cell>
        </row>
        <row r="179">
          <cell r="CF179" t="str">
            <v>\TWP23\TS09</v>
          </cell>
        </row>
        <row r="180">
          <cell r="CF180" t="str">
            <v>\TWP23\TS10</v>
          </cell>
        </row>
        <row r="181">
          <cell r="CF181" t="str">
            <v>\TWP23\TS11</v>
          </cell>
        </row>
        <row r="182">
          <cell r="CF182" t="str">
            <v>\TWP23\TS12</v>
          </cell>
        </row>
        <row r="183">
          <cell r="CF183" t="str">
            <v>\TWP23\TS13</v>
          </cell>
        </row>
        <row r="184">
          <cell r="CF184" t="str">
            <v>\TWP23\TS14</v>
          </cell>
        </row>
        <row r="185">
          <cell r="CF185" t="str">
            <v>\TWP23\TS15</v>
          </cell>
        </row>
        <row r="186">
          <cell r="CF186" t="str">
            <v>\TWP23\TS16</v>
          </cell>
        </row>
        <row r="187">
          <cell r="CF187" t="str">
            <v>\TWP23\TS17</v>
          </cell>
        </row>
        <row r="188">
          <cell r="CF188" t="str">
            <v>\TWP23\TS18</v>
          </cell>
        </row>
        <row r="189">
          <cell r="CF189" t="str">
            <v>\TWP23\TS19</v>
          </cell>
        </row>
        <row r="190">
          <cell r="CF190" t="str">
            <v>\TWP23\TS20</v>
          </cell>
        </row>
        <row r="191">
          <cell r="CF191" t="str">
            <v>\TWP23\TS21</v>
          </cell>
        </row>
        <row r="192">
          <cell r="CF192" t="str">
            <v>\TWP23\TS22</v>
          </cell>
        </row>
        <row r="193">
          <cell r="CF193" t="str">
            <v>\TWP23\TS23</v>
          </cell>
        </row>
        <row r="194">
          <cell r="CF194" t="str">
            <v>\TWP23\TS24</v>
          </cell>
        </row>
        <row r="195">
          <cell r="CF195" t="str">
            <v>\TWP23\TS25</v>
          </cell>
        </row>
        <row r="196">
          <cell r="CF196" t="str">
            <v>\TWP23\TS26</v>
          </cell>
        </row>
        <row r="197">
          <cell r="CF197" t="str">
            <v>\TWP23\TS27</v>
          </cell>
        </row>
        <row r="198">
          <cell r="CF198" t="str">
            <v>\TWP23\TS28</v>
          </cell>
        </row>
        <row r="199">
          <cell r="CF199" t="str">
            <v>\TWP23\TS29</v>
          </cell>
        </row>
        <row r="200">
          <cell r="CF200" t="str">
            <v>\TWP23\TS30</v>
          </cell>
        </row>
        <row r="201">
          <cell r="CF201" t="str">
            <v>\TWP23\TS31</v>
          </cell>
        </row>
        <row r="202">
          <cell r="CF202" t="str">
            <v>\TWP23\TS32</v>
          </cell>
        </row>
        <row r="203">
          <cell r="CF203" t="str">
            <v>\TWP23\TS33</v>
          </cell>
        </row>
        <row r="204">
          <cell r="CF204" t="str">
            <v>\TWP23\TS34</v>
          </cell>
        </row>
        <row r="205">
          <cell r="CF205" t="str">
            <v>\TWP23\TS35</v>
          </cell>
        </row>
        <row r="206">
          <cell r="CF206" t="str">
            <v>\TWP23\TS36</v>
          </cell>
        </row>
        <row r="207">
          <cell r="CF207" t="str">
            <v>\TWP23\TS37</v>
          </cell>
        </row>
        <row r="208">
          <cell r="CF208" t="str">
            <v>\TWP23\TS38</v>
          </cell>
        </row>
        <row r="209">
          <cell r="CF209" t="str">
            <v>\TWP24</v>
          </cell>
        </row>
        <row r="210">
          <cell r="CF210" t="str">
            <v>\TWP24\TS02</v>
          </cell>
        </row>
        <row r="211">
          <cell r="CF211" t="str">
            <v>\TWP24\TS03</v>
          </cell>
        </row>
        <row r="212">
          <cell r="CF212" t="str">
            <v>\TWP24\TS04</v>
          </cell>
        </row>
        <row r="213">
          <cell r="CF213" t="str">
            <v>\TWP25</v>
          </cell>
        </row>
        <row r="214">
          <cell r="CF214" t="str">
            <v>\TWP25\TS01</v>
          </cell>
        </row>
        <row r="215">
          <cell r="CF215" t="str">
            <v>\TWP25\TS02</v>
          </cell>
        </row>
        <row r="216">
          <cell r="CF216" t="str">
            <v>\TWP25\TS03</v>
          </cell>
        </row>
        <row r="217">
          <cell r="CF217" t="str">
            <v>\TWP25\TS04</v>
          </cell>
        </row>
        <row r="218">
          <cell r="CF218" t="str">
            <v>\TWP25\TS05</v>
          </cell>
        </row>
        <row r="219">
          <cell r="CF219" t="str">
            <v>\TWP25\TS06</v>
          </cell>
        </row>
        <row r="220">
          <cell r="CF220" t="str">
            <v>\TWP25\TS07</v>
          </cell>
        </row>
        <row r="221">
          <cell r="CF221" t="str">
            <v>\TWP26</v>
          </cell>
        </row>
        <row r="222">
          <cell r="CF222" t="str">
            <v>\TWP26\TS01</v>
          </cell>
        </row>
        <row r="223">
          <cell r="CF223" t="str">
            <v>\TWP26\TS02</v>
          </cell>
        </row>
        <row r="224">
          <cell r="CF224" t="str">
            <v>\TWP26\TS03</v>
          </cell>
        </row>
        <row r="225">
          <cell r="CF225" t="str">
            <v>\TWP26\TS04</v>
          </cell>
        </row>
        <row r="226">
          <cell r="CF226" t="str">
            <v>\TWP26\TS05</v>
          </cell>
        </row>
        <row r="227">
          <cell r="CF227" t="str">
            <v>\TWP26\TS06</v>
          </cell>
        </row>
        <row r="228">
          <cell r="CF228" t="str">
            <v>\TWP26\TS07</v>
          </cell>
        </row>
        <row r="229">
          <cell r="CF229" t="str">
            <v>\TWP26\TS08</v>
          </cell>
        </row>
        <row r="230">
          <cell r="CF230" t="str">
            <v>\TWP26\TS09</v>
          </cell>
        </row>
        <row r="231">
          <cell r="CF231" t="str">
            <v>\TWP26\TS10</v>
          </cell>
        </row>
        <row r="232">
          <cell r="CF232" t="str">
            <v>\TWP26\TS11</v>
          </cell>
        </row>
        <row r="233">
          <cell r="CF233" t="str">
            <v>\TWP26\TS12</v>
          </cell>
        </row>
        <row r="234">
          <cell r="CF234" t="str">
            <v>\TWP26\TS13</v>
          </cell>
        </row>
        <row r="235">
          <cell r="CF235" t="str">
            <v>\TWP26\TS14</v>
          </cell>
        </row>
        <row r="236">
          <cell r="CF236" t="str">
            <v>\TWP26\TS15</v>
          </cell>
        </row>
        <row r="237">
          <cell r="CF237" t="str">
            <v>\TWP26\TS16</v>
          </cell>
        </row>
        <row r="238">
          <cell r="CF238" t="str">
            <v>\TWP26\TS17</v>
          </cell>
        </row>
        <row r="239">
          <cell r="CF239" t="str">
            <v>\TWP26\TS18</v>
          </cell>
        </row>
        <row r="240">
          <cell r="CF240" t="str">
            <v>\TWP26\TS19</v>
          </cell>
        </row>
        <row r="241">
          <cell r="CF241" t="str">
            <v>\TWP26\TS20</v>
          </cell>
        </row>
        <row r="242">
          <cell r="CF242" t="str">
            <v>\TWP26\TS21</v>
          </cell>
        </row>
        <row r="243">
          <cell r="CF243" t="str">
            <v>\TWP26\TS22</v>
          </cell>
        </row>
        <row r="244">
          <cell r="CF244" t="str">
            <v>\TWP26\TS23</v>
          </cell>
        </row>
        <row r="245">
          <cell r="CF245" t="str">
            <v>\TWP26\TS24</v>
          </cell>
        </row>
        <row r="246">
          <cell r="CF246" t="str">
            <v>\TWP26\TS25</v>
          </cell>
        </row>
        <row r="247">
          <cell r="CF247" t="str">
            <v>\TWP26\TS26</v>
          </cell>
        </row>
        <row r="248">
          <cell r="CF248" t="str">
            <v>\TWP27</v>
          </cell>
        </row>
        <row r="249">
          <cell r="CF249" t="str">
            <v>\TWP27\TS01</v>
          </cell>
        </row>
        <row r="250">
          <cell r="CF250" t="str">
            <v>\TWP27\TS02</v>
          </cell>
        </row>
        <row r="251">
          <cell r="CF251" t="str">
            <v>\TWP27\TS03</v>
          </cell>
        </row>
        <row r="252">
          <cell r="CF252" t="str">
            <v>\TWP27\TS04</v>
          </cell>
        </row>
        <row r="253">
          <cell r="CF253" t="str">
            <v>\TWP27\TS05</v>
          </cell>
        </row>
        <row r="254">
          <cell r="CF254" t="str">
            <v>\TWP27\TS06</v>
          </cell>
        </row>
        <row r="255">
          <cell r="CF255" t="str">
            <v>\TWP27\TS07</v>
          </cell>
        </row>
        <row r="256">
          <cell r="CF256" t="str">
            <v>\TWP27\TS08</v>
          </cell>
        </row>
        <row r="257">
          <cell r="CF257" t="str">
            <v>\TWP27\TS09</v>
          </cell>
        </row>
        <row r="258">
          <cell r="CF258" t="str">
            <v>\TWP27\TS10</v>
          </cell>
        </row>
        <row r="259">
          <cell r="CF259" t="str">
            <v>\TWP27\TS11</v>
          </cell>
        </row>
        <row r="260">
          <cell r="CF260" t="str">
            <v>\TWP27\TS12</v>
          </cell>
        </row>
        <row r="261">
          <cell r="CF261" t="str">
            <v>\TWP27\TS13</v>
          </cell>
        </row>
        <row r="262">
          <cell r="CF262" t="str">
            <v>\TWP27\TS14</v>
          </cell>
        </row>
        <row r="263">
          <cell r="CF263" t="str">
            <v>\TWP27\TS15</v>
          </cell>
        </row>
        <row r="264">
          <cell r="CF264" t="str">
            <v>\TWP27\TS16</v>
          </cell>
        </row>
        <row r="265">
          <cell r="CF265" t="str">
            <v>\TWP27\TS17</v>
          </cell>
        </row>
        <row r="266">
          <cell r="CF266" t="str">
            <v>\TWP27\TS18</v>
          </cell>
        </row>
        <row r="267">
          <cell r="CF267" t="str">
            <v>\TWP27\TS19</v>
          </cell>
        </row>
        <row r="268">
          <cell r="CF268" t="str">
            <v>\TWP27\TS20</v>
          </cell>
        </row>
        <row r="269">
          <cell r="CF269" t="str">
            <v>\TWP31</v>
          </cell>
        </row>
        <row r="270">
          <cell r="CF270" t="str">
            <v>\TWP31\TS01</v>
          </cell>
        </row>
        <row r="271">
          <cell r="CF271" t="str">
            <v>\TWP31\TS02</v>
          </cell>
        </row>
        <row r="272">
          <cell r="CF272" t="str">
            <v>\TWP31\TS03</v>
          </cell>
        </row>
        <row r="273">
          <cell r="CF273" t="str">
            <v>\TWP31\TS04</v>
          </cell>
        </row>
        <row r="274">
          <cell r="CF274" t="str">
            <v>\TWP31\TS05</v>
          </cell>
        </row>
        <row r="275">
          <cell r="CF275" t="str">
            <v>\TWP31\TS06</v>
          </cell>
        </row>
        <row r="276">
          <cell r="CF276" t="str">
            <v>\TWP31\TS08</v>
          </cell>
        </row>
        <row r="277">
          <cell r="CF277" t="str">
            <v>\TWP31\TS09</v>
          </cell>
        </row>
        <row r="278">
          <cell r="CF278" t="str">
            <v>\TWP31\TS10</v>
          </cell>
        </row>
        <row r="279">
          <cell r="CF279" t="str">
            <v>\TWP31\TS11</v>
          </cell>
        </row>
        <row r="280">
          <cell r="CF280" t="str">
            <v>\TWP31\TS12</v>
          </cell>
        </row>
        <row r="281">
          <cell r="CF281" t="str">
            <v>\TWP31\TS13</v>
          </cell>
        </row>
        <row r="282">
          <cell r="CF282" t="str">
            <v>\TWP31\TS14</v>
          </cell>
        </row>
        <row r="283">
          <cell r="CF283" t="str">
            <v>\TWP31\TS15</v>
          </cell>
        </row>
        <row r="284">
          <cell r="CF284" t="str">
            <v>\TWP31\TS16</v>
          </cell>
        </row>
        <row r="285">
          <cell r="CF285" t="str">
            <v>\TWP31\TS17</v>
          </cell>
        </row>
        <row r="286">
          <cell r="CF286" t="str">
            <v>\TWP31\TS18</v>
          </cell>
        </row>
        <row r="287">
          <cell r="CF287" t="str">
            <v>\TWP31\TS19</v>
          </cell>
        </row>
        <row r="288">
          <cell r="CF288" t="str">
            <v>\TWP31\TS20</v>
          </cell>
        </row>
        <row r="289">
          <cell r="CF289" t="str">
            <v>\TWP31\TS21</v>
          </cell>
        </row>
        <row r="290">
          <cell r="CF290" t="str">
            <v>\TWP31\TS22</v>
          </cell>
        </row>
        <row r="291">
          <cell r="CF291" t="str">
            <v>\TWP31\TS23</v>
          </cell>
        </row>
        <row r="292">
          <cell r="CF292" t="str">
            <v>\TWP31\TS24</v>
          </cell>
        </row>
        <row r="293">
          <cell r="CF293" t="str">
            <v>\TWP32</v>
          </cell>
        </row>
        <row r="294">
          <cell r="CF294" t="str">
            <v>\TWP32\TS01</v>
          </cell>
        </row>
        <row r="295">
          <cell r="CF295" t="str">
            <v>\TWP32\TS02</v>
          </cell>
        </row>
        <row r="296">
          <cell r="CF296" t="str">
            <v>\TWP41</v>
          </cell>
        </row>
        <row r="297">
          <cell r="CF297" t="str">
            <v>\TWP41\TS01</v>
          </cell>
        </row>
        <row r="298">
          <cell r="CF298" t="str">
            <v>\TWP41\TS02</v>
          </cell>
        </row>
        <row r="299">
          <cell r="CF299" t="str">
            <v>\TWP41\TS03</v>
          </cell>
        </row>
        <row r="300">
          <cell r="CF300" t="str">
            <v>\TWP41\TS04</v>
          </cell>
        </row>
        <row r="301">
          <cell r="CF301" t="str">
            <v>\TWP41\TS05</v>
          </cell>
        </row>
        <row r="302">
          <cell r="CF302" t="str">
            <v>\TWP41\TS06</v>
          </cell>
        </row>
        <row r="303">
          <cell r="CF303" t="str">
            <v>\TWP41\TS07</v>
          </cell>
        </row>
        <row r="304">
          <cell r="CF304" t="str">
            <v>\TWP41\TS08</v>
          </cell>
        </row>
        <row r="305">
          <cell r="CF305" t="str">
            <v>\TWP41\TS09</v>
          </cell>
        </row>
        <row r="306">
          <cell r="CF306" t="str">
            <v>\TWP41\TS10</v>
          </cell>
        </row>
        <row r="307">
          <cell r="CF307" t="str">
            <v>\TWP41\TS11</v>
          </cell>
        </row>
        <row r="308">
          <cell r="CF308" t="str">
            <v>\TWP41\TS12</v>
          </cell>
        </row>
        <row r="309">
          <cell r="CF309" t="str">
            <v>\TWP41\TS13</v>
          </cell>
        </row>
        <row r="310">
          <cell r="CF310" t="str">
            <v>\TWP41\TS14</v>
          </cell>
        </row>
        <row r="311">
          <cell r="CF311" t="str">
            <v>\TWP41\TS15</v>
          </cell>
        </row>
        <row r="312">
          <cell r="CF312" t="str">
            <v>\TWP41\TS16</v>
          </cell>
        </row>
        <row r="313">
          <cell r="CF313" t="str">
            <v>\TWP41\TS17</v>
          </cell>
        </row>
        <row r="314">
          <cell r="CF314" t="str">
            <v>\TWP41\TS18</v>
          </cell>
        </row>
        <row r="315">
          <cell r="CF315" t="str">
            <v>\TWP41\TS19</v>
          </cell>
        </row>
      </sheetData>
      <sheetData sheetId="24"/>
      <sheetData sheetId="25"/>
      <sheetData sheetId="26"/>
    </sheetDataSet>
  </externalBook>
</externalLink>
</file>

<file path=xl/tables/table1.xml><?xml version="1.0" encoding="utf-8"?>
<table xmlns="http://schemas.openxmlformats.org/spreadsheetml/2006/main" id="10" name="Cover" displayName="Cover" ref="A8:F9" insertRow="1" totalsRowShown="0" dataDxfId="10">
  <autoFilter ref="A8:F9"/>
  <tableColumns count="6">
    <tableColumn id="4" name="Timestamp" dataDxfId="9"/>
    <tableColumn id="3" name="Team" dataDxfId="8"/>
    <tableColumn id="7" name="File Type" dataDxfId="7"/>
    <tableColumn id="1" name="Filename" dataDxfId="6"/>
    <tableColumn id="2" name="Header" dataDxfId="5"/>
    <tableColumn id="5" name="Label" dataDxfId="4"/>
  </tableColumns>
  <tableStyleInfo name="TableStyleMedium4" showFirstColumn="0" showLastColumn="0" showRowStripes="1" showColumnStripes="0"/>
</table>
</file>

<file path=xl/tables/table2.xml><?xml version="1.0" encoding="utf-8"?>
<table xmlns="http://schemas.openxmlformats.org/spreadsheetml/2006/main" id="7" name="ConfigFiles" displayName="ConfigFiles" ref="A1:F2" insertRow="1" totalsRowShown="0">
  <autoFilter ref="A1:F2"/>
  <tableColumns count="6">
    <tableColumn id="1" name="Assignment"/>
    <tableColumn id="9" name="Team" dataDxfId="3"/>
    <tableColumn id="3" name="Descriptor"/>
    <tableColumn id="4" name="Config"/>
    <tableColumn id="5" name="Parameter"/>
    <tableColumn id="6" name="Value" dataDxfId="2"/>
  </tableColumns>
  <tableStyleInfo name="TableStyleMedium14" showFirstColumn="0" showLastColumn="0" showRowStripes="1" showColumnStripes="0"/>
</table>
</file>

<file path=xl/tables/table3.xml><?xml version="1.0" encoding="utf-8"?>
<table xmlns="http://schemas.openxmlformats.org/spreadsheetml/2006/main" id="6" name="ErrorFiles" displayName="ErrorFiles" ref="A1:G2" insertRow="1" totalsRowShown="0">
  <autoFilter ref="A1:G2"/>
  <tableColumns count="7">
    <tableColumn id="1" name="Assignment"/>
    <tableColumn id="8" name="Team" dataDxfId="1"/>
    <tableColumn id="3" name="Descriptor"/>
    <tableColumn id="4" name="Config"/>
    <tableColumn id="5" name="Epoch"/>
    <tableColumn id="6" name="Error Tr" dataDxfId="0"/>
    <tableColumn id="7" name="Error Val"/>
  </tableColumns>
  <tableStyleInfo name="TableStyleMedium7" showFirstColumn="0" showLastColumn="0" showRowStripes="1" showColumnStripes="0"/>
</table>
</file>

<file path=xl/tables/table4.xml><?xml version="1.0" encoding="utf-8"?>
<table xmlns="http://schemas.openxmlformats.org/spreadsheetml/2006/main" id="9" name="DQReportTable" displayName="DQReportTable" ref="A1:E2" insertRow="1" totalsRowShown="0">
  <autoFilter ref="A1:E2"/>
  <tableColumns count="5">
    <tableColumn id="1" name="Execution Date"/>
    <tableColumn id="2" name="Action"/>
    <tableColumn id="3" name="Context"/>
    <tableColumn id="4" name="Message Type"/>
    <tableColumn id="5" name="Message"/>
  </tableColumns>
  <tableStyleInfo name="TableStyleMedium4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2:F9"/>
  <sheetViews>
    <sheetView showGridLines="0" tabSelected="1" zoomScale="90" zoomScaleNormal="90" workbookViewId="0"/>
  </sheetViews>
  <sheetFormatPr defaultRowHeight="15" x14ac:dyDescent="0.25"/>
  <cols>
    <col min="1" max="1" width="21.5703125" bestFit="1" customWidth="1"/>
    <col min="2" max="2" width="16.7109375" customWidth="1"/>
    <col min="3" max="3" width="11.28515625" bestFit="1" customWidth="1"/>
    <col min="4" max="4" width="78.140625" bestFit="1" customWidth="1"/>
    <col min="5" max="5" width="42.42578125" bestFit="1" customWidth="1"/>
    <col min="6" max="6" width="26.28515625" customWidth="1"/>
  </cols>
  <sheetData>
    <row r="2" spans="1:6" x14ac:dyDescent="0.25">
      <c r="A2" s="5" t="s">
        <v>18</v>
      </c>
      <c r="B2" s="6"/>
    </row>
    <row r="3" spans="1:6" x14ac:dyDescent="0.25">
      <c r="A3" s="7"/>
      <c r="B3" s="7"/>
    </row>
    <row r="4" spans="1:6" x14ac:dyDescent="0.25">
      <c r="A4" s="5" t="s">
        <v>19</v>
      </c>
      <c r="B4" s="8"/>
    </row>
    <row r="6" spans="1:6" x14ac:dyDescent="0.25">
      <c r="A6" s="5" t="s">
        <v>20</v>
      </c>
      <c r="B6" s="5"/>
    </row>
    <row r="8" spans="1:6" x14ac:dyDescent="0.25">
      <c r="A8" s="9" t="s">
        <v>16</v>
      </c>
      <c r="B8" t="s">
        <v>29</v>
      </c>
      <c r="C8" t="s">
        <v>23</v>
      </c>
      <c r="D8" s="10" t="s">
        <v>22</v>
      </c>
      <c r="E8" t="s">
        <v>24</v>
      </c>
      <c r="F8" t="s">
        <v>17</v>
      </c>
    </row>
    <row r="9" spans="1:6" x14ac:dyDescent="0.25">
      <c r="A9" s="14"/>
      <c r="B9" s="13"/>
      <c r="C9" s="11"/>
      <c r="D9" s="12"/>
      <c r="E9" s="13"/>
      <c r="F9" s="13"/>
    </row>
  </sheetData>
  <pageMargins left="0.7" right="0.7" top="0.75" bottom="0.75" header="0.3" footer="0.3"/>
  <pageSetup paperSize="9" orientation="portrait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F2"/>
  <sheetViews>
    <sheetView zoomScale="90" zoomScaleNormal="90" workbookViewId="0"/>
  </sheetViews>
  <sheetFormatPr defaultRowHeight="15" x14ac:dyDescent="0.25"/>
  <cols>
    <col min="1" max="1" width="9.85546875" customWidth="1"/>
    <col min="2" max="2" width="9.28515625" bestFit="1" customWidth="1"/>
    <col min="3" max="3" width="10.140625" customWidth="1"/>
    <col min="4" max="4" width="14.7109375" customWidth="1"/>
    <col min="5" max="5" width="34.28515625" bestFit="1" customWidth="1"/>
    <col min="6" max="6" width="48.5703125" customWidth="1"/>
  </cols>
  <sheetData>
    <row r="1" spans="1:6" x14ac:dyDescent="0.25">
      <c r="A1" t="s">
        <v>30</v>
      </c>
      <c r="B1" t="s">
        <v>29</v>
      </c>
      <c r="C1" t="s">
        <v>33</v>
      </c>
      <c r="D1" t="s">
        <v>34</v>
      </c>
      <c r="E1" t="s">
        <v>31</v>
      </c>
      <c r="F1" t="s">
        <v>35</v>
      </c>
    </row>
    <row r="2" spans="1:6" x14ac:dyDescent="0.25">
      <c r="B2" s="1"/>
      <c r="F2" s="2"/>
    </row>
  </sheetData>
  <pageMargins left="0.7" right="0.7" top="0.75" bottom="0.75" header="0.3" footer="0.3"/>
  <pageSetup orientation="portrait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G2"/>
  <sheetViews>
    <sheetView zoomScale="90" zoomScaleNormal="90" workbookViewId="0"/>
  </sheetViews>
  <sheetFormatPr defaultRowHeight="15" x14ac:dyDescent="0.25"/>
  <cols>
    <col min="1" max="1" width="9.85546875" customWidth="1"/>
    <col min="3" max="3" width="14.7109375" customWidth="1"/>
    <col min="5" max="5" width="12.85546875" customWidth="1"/>
    <col min="6" max="6" width="10" customWidth="1"/>
    <col min="10" max="10" width="12.85546875" bestFit="1" customWidth="1"/>
  </cols>
  <sheetData>
    <row r="1" spans="1:7" x14ac:dyDescent="0.25">
      <c r="A1" t="s">
        <v>30</v>
      </c>
      <c r="B1" t="s">
        <v>29</v>
      </c>
      <c r="C1" t="s">
        <v>33</v>
      </c>
      <c r="D1" t="s">
        <v>34</v>
      </c>
      <c r="E1" t="s">
        <v>37</v>
      </c>
      <c r="F1" t="s">
        <v>38</v>
      </c>
      <c r="G1" t="s">
        <v>39</v>
      </c>
    </row>
    <row r="2" spans="1:7" x14ac:dyDescent="0.25">
      <c r="B2" s="1"/>
      <c r="F2" s="1"/>
    </row>
  </sheetData>
  <pageMargins left="0.7" right="0.7" top="0.75" bottom="0.75" header="0.3" footer="0.3"/>
  <pageSetup orientation="portrait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"/>
  <sheetViews>
    <sheetView workbookViewId="0"/>
  </sheetViews>
  <sheetFormatPr defaultRowHeight="15" x14ac:dyDescent="0.25"/>
  <cols>
    <col min="1" max="1" width="4" customWidth="1"/>
    <col min="2" max="2" width="14.28515625" customWidth="1"/>
    <col min="3" max="3" width="16.28515625" bestFit="1" customWidth="1"/>
    <col min="4" max="4" width="6" customWidth="1"/>
    <col min="5" max="5" width="11.28515625" bestFit="1" customWidth="1"/>
    <col min="7" max="7" width="18.5703125" customWidth="1"/>
    <col min="8" max="8" width="16.28515625" customWidth="1"/>
    <col min="9" max="9" width="4.5703125" customWidth="1"/>
    <col min="10" max="10" width="11.28515625" customWidth="1"/>
    <col min="11" max="11" width="11.28515625" bestFit="1" customWidth="1"/>
    <col min="12" max="12" width="18.5703125" customWidth="1"/>
    <col min="13" max="13" width="16.28515625" customWidth="1"/>
    <col min="14" max="14" width="4.5703125" customWidth="1"/>
    <col min="15" max="16" width="11.28515625" customWidth="1"/>
    <col min="17" max="17" width="13.85546875" customWidth="1"/>
    <col min="18" max="18" width="12.7109375" customWidth="1"/>
    <col min="19" max="19" width="18.85546875" bestFit="1" customWidth="1"/>
    <col min="20" max="20" width="17.85546875" bestFit="1" customWidth="1"/>
    <col min="21" max="21" width="11.28515625" bestFit="1" customWidth="1"/>
  </cols>
  <sheetData/>
  <pageMargins left="0.7" right="0.7" top="0.75" bottom="0.75" header="0.3" footer="0.3"/>
  <pageSetup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I25"/>
  <sheetViews>
    <sheetView zoomScale="90" zoomScaleNormal="90" workbookViewId="0">
      <selection activeCell="B4" sqref="B4"/>
    </sheetView>
  </sheetViews>
  <sheetFormatPr defaultRowHeight="15" x14ac:dyDescent="0.25"/>
  <cols>
    <col min="1" max="1" width="22.5703125" bestFit="1" customWidth="1"/>
    <col min="2" max="2" width="24.5703125" bestFit="1" customWidth="1"/>
    <col min="4" max="4" width="15.85546875" bestFit="1" customWidth="1"/>
    <col min="5" max="5" width="6.7109375" bestFit="1" customWidth="1"/>
    <col min="6" max="6" width="14.5703125" bestFit="1" customWidth="1"/>
    <col min="7" max="7" width="3.7109375" customWidth="1"/>
    <col min="8" max="8" width="14.140625" bestFit="1" customWidth="1"/>
    <col min="9" max="9" width="122" bestFit="1" customWidth="1"/>
  </cols>
  <sheetData>
    <row r="1" spans="1:9" x14ac:dyDescent="0.25">
      <c r="A1" t="s">
        <v>5</v>
      </c>
      <c r="B1" t="s">
        <v>6</v>
      </c>
      <c r="D1" s="4" t="s">
        <v>7</v>
      </c>
      <c r="E1" s="4" t="s">
        <v>8</v>
      </c>
      <c r="F1" s="4" t="s">
        <v>9</v>
      </c>
      <c r="H1" t="s">
        <v>10</v>
      </c>
      <c r="I1" t="s">
        <v>11</v>
      </c>
    </row>
    <row r="2" spans="1:9" x14ac:dyDescent="0.25">
      <c r="A2" t="s">
        <v>12</v>
      </c>
      <c r="B2" t="s">
        <v>13</v>
      </c>
    </row>
    <row r="3" spans="1:9" x14ac:dyDescent="0.25">
      <c r="A3" t="s">
        <v>12</v>
      </c>
      <c r="B3" t="s">
        <v>28</v>
      </c>
    </row>
    <row r="4" spans="1:9" x14ac:dyDescent="0.25">
      <c r="A4" t="s">
        <v>12</v>
      </c>
      <c r="B4" t="s">
        <v>27</v>
      </c>
    </row>
    <row r="5" spans="1:9" x14ac:dyDescent="0.25">
      <c r="A5" t="s">
        <v>14</v>
      </c>
      <c r="B5" t="str">
        <f t="shared" ref="B5:B11" si="0">D5&amp;"("&amp;H5&amp;", "&amp;E5&amp;")"</f>
        <v>Cover(Timestamp, 1)</v>
      </c>
      <c r="D5" t="s">
        <v>15</v>
      </c>
      <c r="E5">
        <v>1</v>
      </c>
      <c r="F5" t="s">
        <v>16</v>
      </c>
      <c r="H5" t="str">
        <f>convertToSymbol(F5)</f>
        <v>Timestamp</v>
      </c>
      <c r="I5" t="str">
        <f t="shared" ref="I5:I10" si="1">"tmd_" &amp; D5 &amp; "_" &amp; H5 &amp; " = queryTerm(MetadataRelation, """&amp; D5 &amp;"("&amp; H5  &amp;", ?)"")"</f>
        <v>tmd_Cover_Timestamp = queryTerm(MetadataRelation, "Cover(Timestamp, ?)")</v>
      </c>
    </row>
    <row r="6" spans="1:9" x14ac:dyDescent="0.25">
      <c r="A6" t="s">
        <v>14</v>
      </c>
      <c r="B6" t="str">
        <f t="shared" si="0"/>
        <v>Cover(Group, 2)</v>
      </c>
      <c r="D6" t="s">
        <v>15</v>
      </c>
      <c r="E6">
        <v>2</v>
      </c>
      <c r="F6" t="s">
        <v>21</v>
      </c>
      <c r="H6" t="str">
        <f t="shared" ref="H6:H10" si="2">convertToSymbol(F6)</f>
        <v>Group</v>
      </c>
      <c r="I6" t="str">
        <f t="shared" si="1"/>
        <v>tmd_Cover_Group = queryTerm(MetadataRelation, "Cover(Group, ?)")</v>
      </c>
    </row>
    <row r="7" spans="1:9" x14ac:dyDescent="0.25">
      <c r="A7" t="s">
        <v>14</v>
      </c>
      <c r="B7" t="str">
        <f t="shared" si="0"/>
        <v>Cover(FileType, 3)</v>
      </c>
      <c r="D7" t="s">
        <v>15</v>
      </c>
      <c r="E7">
        <v>3</v>
      </c>
      <c r="F7" t="s">
        <v>23</v>
      </c>
      <c r="H7" t="str">
        <f t="shared" si="2"/>
        <v>FileType</v>
      </c>
      <c r="I7" t="str">
        <f t="shared" si="1"/>
        <v>tmd_Cover_FileType = queryTerm(MetadataRelation, "Cover(FileType, ?)")</v>
      </c>
    </row>
    <row r="8" spans="1:9" x14ac:dyDescent="0.25">
      <c r="A8" t="s">
        <v>14</v>
      </c>
      <c r="B8" t="str">
        <f t="shared" si="0"/>
        <v>Cover(Filename, 4)</v>
      </c>
      <c r="D8" t="s">
        <v>15</v>
      </c>
      <c r="E8">
        <v>4</v>
      </c>
      <c r="F8" t="s">
        <v>22</v>
      </c>
      <c r="H8" t="str">
        <f t="shared" si="2"/>
        <v>Filename</v>
      </c>
      <c r="I8" t="str">
        <f t="shared" si="1"/>
        <v>tmd_Cover_Filename = queryTerm(MetadataRelation, "Cover(Filename, ?)")</v>
      </c>
    </row>
    <row r="9" spans="1:9" x14ac:dyDescent="0.25">
      <c r="A9" t="s">
        <v>14</v>
      </c>
      <c r="B9" t="str">
        <f t="shared" si="0"/>
        <v>Cover(Header, 5)</v>
      </c>
      <c r="D9" t="s">
        <v>15</v>
      </c>
      <c r="E9">
        <v>5</v>
      </c>
      <c r="F9" t="s">
        <v>24</v>
      </c>
      <c r="H9" t="str">
        <f t="shared" si="2"/>
        <v>Header</v>
      </c>
      <c r="I9" t="str">
        <f t="shared" si="1"/>
        <v>tmd_Cover_Header = queryTerm(MetadataRelation, "Cover(Header, ?)")</v>
      </c>
    </row>
    <row r="10" spans="1:9" x14ac:dyDescent="0.25">
      <c r="A10" t="s">
        <v>14</v>
      </c>
      <c r="B10" t="str">
        <f t="shared" si="0"/>
        <v>Cover(Label, 6)</v>
      </c>
      <c r="D10" t="s">
        <v>15</v>
      </c>
      <c r="E10">
        <v>6</v>
      </c>
      <c r="F10" t="s">
        <v>17</v>
      </c>
      <c r="H10" t="str">
        <f t="shared" si="2"/>
        <v>Label</v>
      </c>
      <c r="I10" t="str">
        <f t="shared" si="1"/>
        <v>tmd_Cover_Label = queryTerm(MetadataRelation, "Cover(Label, ?)")</v>
      </c>
    </row>
    <row r="11" spans="1:9" x14ac:dyDescent="0.25">
      <c r="A11" t="s">
        <v>14</v>
      </c>
      <c r="B11" t="str">
        <f t="shared" si="0"/>
        <v>ConfigFile(Assignment, 1)</v>
      </c>
      <c r="D11" t="s">
        <v>25</v>
      </c>
      <c r="E11">
        <v>1</v>
      </c>
      <c r="F11" t="s">
        <v>30</v>
      </c>
      <c r="H11" t="str">
        <f t="shared" ref="H11:H18" si="3">convertToSymbol(F11)</f>
        <v>Assignment</v>
      </c>
      <c r="I11" t="str">
        <f t="shared" ref="I11:I18" si="4">"tmd_" &amp; D11 &amp; "_" &amp; H11 &amp; " = queryTerm(MetadataRelation, """&amp; D11 &amp;"("&amp; H11  &amp;", ?)"")"</f>
        <v>tmd_ConfigFile_Assignment = queryTerm(MetadataRelation, "ConfigFile(Assignment, ?)")</v>
      </c>
    </row>
    <row r="12" spans="1:9" x14ac:dyDescent="0.25">
      <c r="A12" t="s">
        <v>14</v>
      </c>
      <c r="B12" t="str">
        <f t="shared" ref="B12:B19" si="5">D12&amp;"("&amp;H12&amp;", "&amp;E12&amp;")"</f>
        <v>ConfigFile(Team, 2)</v>
      </c>
      <c r="D12" t="s">
        <v>25</v>
      </c>
      <c r="E12">
        <v>2</v>
      </c>
      <c r="F12" t="s">
        <v>29</v>
      </c>
      <c r="H12" t="str">
        <f t="shared" si="3"/>
        <v>Team</v>
      </c>
      <c r="I12" t="str">
        <f t="shared" si="4"/>
        <v>tmd_ConfigFile_Team = queryTerm(MetadataRelation, "ConfigFile(Team, ?)")</v>
      </c>
    </row>
    <row r="13" spans="1:9" x14ac:dyDescent="0.25">
      <c r="A13" t="s">
        <v>14</v>
      </c>
      <c r="B13" t="str">
        <f t="shared" si="5"/>
        <v>ConfigFile(Descriptor, 3)</v>
      </c>
      <c r="D13" t="s">
        <v>25</v>
      </c>
      <c r="E13">
        <v>3</v>
      </c>
      <c r="F13" t="s">
        <v>33</v>
      </c>
      <c r="H13" t="str">
        <f t="shared" si="3"/>
        <v>Descriptor</v>
      </c>
      <c r="I13" t="str">
        <f t="shared" si="4"/>
        <v>tmd_ConfigFile_Descriptor = queryTerm(MetadataRelation, "ConfigFile(Descriptor, ?)")</v>
      </c>
    </row>
    <row r="14" spans="1:9" x14ac:dyDescent="0.25">
      <c r="A14" t="s">
        <v>14</v>
      </c>
      <c r="B14" t="str">
        <f t="shared" si="5"/>
        <v>ConfigFile(Config, 4)</v>
      </c>
      <c r="D14" t="s">
        <v>25</v>
      </c>
      <c r="E14">
        <v>4</v>
      </c>
      <c r="F14" t="s">
        <v>34</v>
      </c>
      <c r="H14" t="str">
        <f t="shared" si="3"/>
        <v>Config</v>
      </c>
      <c r="I14" t="str">
        <f t="shared" si="4"/>
        <v>tmd_ConfigFile_Config = queryTerm(MetadataRelation, "ConfigFile(Config, ?)")</v>
      </c>
    </row>
    <row r="15" spans="1:9" x14ac:dyDescent="0.25">
      <c r="A15" t="s">
        <v>14</v>
      </c>
      <c r="B15" t="str">
        <f t="shared" si="5"/>
        <v>ConfigFile(Parameter, 5)</v>
      </c>
      <c r="D15" t="s">
        <v>25</v>
      </c>
      <c r="E15">
        <v>5</v>
      </c>
      <c r="F15" t="s">
        <v>31</v>
      </c>
      <c r="H15" t="str">
        <f t="shared" si="3"/>
        <v>Parameter</v>
      </c>
      <c r="I15" t="str">
        <f t="shared" si="4"/>
        <v>tmd_ConfigFile_Parameter = queryTerm(MetadataRelation, "ConfigFile(Parameter, ?)")</v>
      </c>
    </row>
    <row r="16" spans="1:9" x14ac:dyDescent="0.25">
      <c r="A16" t="s">
        <v>14</v>
      </c>
      <c r="B16" t="str">
        <f t="shared" ref="B16:B18" si="6">D16&amp;"("&amp;H16&amp;", "&amp;E16&amp;")"</f>
        <v>ConfigFile(Value, 6)</v>
      </c>
      <c r="D16" t="s">
        <v>25</v>
      </c>
      <c r="E16">
        <v>6</v>
      </c>
      <c r="F16" t="s">
        <v>35</v>
      </c>
      <c r="H16" t="str">
        <f t="shared" si="3"/>
        <v>Value</v>
      </c>
      <c r="I16" t="str">
        <f t="shared" si="4"/>
        <v>tmd_ConfigFile_Value = queryTerm(MetadataRelation, "ConfigFile(Value, ?)")</v>
      </c>
    </row>
    <row r="17" spans="1:9" x14ac:dyDescent="0.25">
      <c r="A17" t="s">
        <v>14</v>
      </c>
      <c r="B17" t="str">
        <f t="shared" si="6"/>
        <v>ConfigFile(ParameterN, 7)</v>
      </c>
      <c r="D17" t="s">
        <v>25</v>
      </c>
      <c r="E17">
        <v>7</v>
      </c>
      <c r="F17" t="s">
        <v>32</v>
      </c>
      <c r="H17" t="str">
        <f t="shared" si="3"/>
        <v>ParameterN</v>
      </c>
      <c r="I17" t="str">
        <f t="shared" si="4"/>
        <v>tmd_ConfigFile_ParameterN = queryTerm(MetadataRelation, "ConfigFile(ParameterN, ?)")</v>
      </c>
    </row>
    <row r="18" spans="1:9" x14ac:dyDescent="0.25">
      <c r="A18" t="s">
        <v>14</v>
      </c>
      <c r="B18" t="str">
        <f t="shared" si="6"/>
        <v>ConfigFile(ValueN, 8)</v>
      </c>
      <c r="D18" t="s">
        <v>25</v>
      </c>
      <c r="E18">
        <v>8</v>
      </c>
      <c r="F18" t="s">
        <v>36</v>
      </c>
      <c r="H18" t="str">
        <f t="shared" si="3"/>
        <v>ValueN</v>
      </c>
      <c r="I18" t="str">
        <f t="shared" si="4"/>
        <v>tmd_ConfigFile_ValueN = queryTerm(MetadataRelation, "ConfigFile(ValueN, ?)")</v>
      </c>
    </row>
    <row r="19" spans="1:9" x14ac:dyDescent="0.25">
      <c r="A19" t="s">
        <v>14</v>
      </c>
      <c r="B19" t="str">
        <f t="shared" si="5"/>
        <v>ErrorFile(Assignment, 1)</v>
      </c>
      <c r="D19" t="s">
        <v>26</v>
      </c>
      <c r="E19">
        <v>1</v>
      </c>
      <c r="F19" t="s">
        <v>30</v>
      </c>
      <c r="H19" t="str">
        <f t="shared" ref="H19:H25" si="7">convertToSymbol(F19)</f>
        <v>Assignment</v>
      </c>
      <c r="I19" t="str">
        <f t="shared" ref="I19:I25" si="8">"tmd_" &amp; D19 &amp; "_" &amp; H19 &amp; " = queryTerm(MetadataRelation, """&amp; D19 &amp;"("&amp; H19  &amp;", ?)"")"</f>
        <v>tmd_ErrorFile_Assignment = queryTerm(MetadataRelation, "ErrorFile(Assignment, ?)")</v>
      </c>
    </row>
    <row r="20" spans="1:9" x14ac:dyDescent="0.25">
      <c r="A20" t="s">
        <v>14</v>
      </c>
      <c r="B20" t="str">
        <f t="shared" ref="B20:B25" si="9">D20&amp;"("&amp;H20&amp;", "&amp;E20&amp;")"</f>
        <v>ErrorFile(Team, 2)</v>
      </c>
      <c r="D20" t="s">
        <v>26</v>
      </c>
      <c r="E20">
        <v>2</v>
      </c>
      <c r="F20" t="s">
        <v>29</v>
      </c>
      <c r="H20" t="str">
        <f t="shared" si="7"/>
        <v>Team</v>
      </c>
      <c r="I20" t="str">
        <f t="shared" si="8"/>
        <v>tmd_ErrorFile_Team = queryTerm(MetadataRelation, "ErrorFile(Team, ?)")</v>
      </c>
    </row>
    <row r="21" spans="1:9" x14ac:dyDescent="0.25">
      <c r="A21" t="s">
        <v>14</v>
      </c>
      <c r="B21" t="str">
        <f t="shared" si="9"/>
        <v>ErrorFile(Descriptor, 3)</v>
      </c>
      <c r="D21" t="s">
        <v>26</v>
      </c>
      <c r="E21">
        <v>3</v>
      </c>
      <c r="F21" t="s">
        <v>33</v>
      </c>
      <c r="H21" t="str">
        <f t="shared" si="7"/>
        <v>Descriptor</v>
      </c>
      <c r="I21" t="str">
        <f t="shared" si="8"/>
        <v>tmd_ErrorFile_Descriptor = queryTerm(MetadataRelation, "ErrorFile(Descriptor, ?)")</v>
      </c>
    </row>
    <row r="22" spans="1:9" x14ac:dyDescent="0.25">
      <c r="A22" t="s">
        <v>14</v>
      </c>
      <c r="B22" t="str">
        <f t="shared" si="9"/>
        <v>ErrorFile(Config, 4)</v>
      </c>
      <c r="D22" t="s">
        <v>26</v>
      </c>
      <c r="E22">
        <v>4</v>
      </c>
      <c r="F22" t="s">
        <v>34</v>
      </c>
      <c r="H22" t="str">
        <f t="shared" si="7"/>
        <v>Config</v>
      </c>
      <c r="I22" t="str">
        <f t="shared" si="8"/>
        <v>tmd_ErrorFile_Config = queryTerm(MetadataRelation, "ErrorFile(Config, ?)")</v>
      </c>
    </row>
    <row r="23" spans="1:9" x14ac:dyDescent="0.25">
      <c r="A23" t="s">
        <v>14</v>
      </c>
      <c r="B23" t="str">
        <f t="shared" si="9"/>
        <v>ErrorFile(Epoch, 5)</v>
      </c>
      <c r="D23" t="s">
        <v>26</v>
      </c>
      <c r="E23">
        <v>5</v>
      </c>
      <c r="F23" t="s">
        <v>37</v>
      </c>
      <c r="H23" t="str">
        <f t="shared" si="7"/>
        <v>Epoch</v>
      </c>
      <c r="I23" t="str">
        <f t="shared" si="8"/>
        <v>tmd_ErrorFile_Epoch = queryTerm(MetadataRelation, "ErrorFile(Epoch, ?)")</v>
      </c>
    </row>
    <row r="24" spans="1:9" x14ac:dyDescent="0.25">
      <c r="A24" t="s">
        <v>14</v>
      </c>
      <c r="B24" t="str">
        <f t="shared" si="9"/>
        <v>ErrorFile(ErrorTr, 6)</v>
      </c>
      <c r="D24" t="s">
        <v>26</v>
      </c>
      <c r="E24">
        <v>6</v>
      </c>
      <c r="F24" t="s">
        <v>38</v>
      </c>
      <c r="H24" t="str">
        <f t="shared" si="7"/>
        <v>ErrorTr</v>
      </c>
      <c r="I24" t="str">
        <f t="shared" si="8"/>
        <v>tmd_ErrorFile_ErrorTr = queryTerm(MetadataRelation, "ErrorFile(ErrorTr, ?)")</v>
      </c>
    </row>
    <row r="25" spans="1:9" x14ac:dyDescent="0.25">
      <c r="A25" t="s">
        <v>14</v>
      </c>
      <c r="B25" t="str">
        <f t="shared" si="9"/>
        <v>ErrorFile(ErrorVal, 7)</v>
      </c>
      <c r="D25" t="s">
        <v>26</v>
      </c>
      <c r="E25">
        <v>7</v>
      </c>
      <c r="F25" t="s">
        <v>39</v>
      </c>
      <c r="H25" t="str">
        <f t="shared" si="7"/>
        <v>ErrorVal</v>
      </c>
      <c r="I25" t="str">
        <f t="shared" si="8"/>
        <v>tmd_ErrorFile_ErrorVal = queryTerm(MetadataRelation, "ErrorFile(ErrorVal, ?)")</v>
      </c>
    </row>
  </sheetData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E2"/>
  <sheetViews>
    <sheetView zoomScale="90" zoomScaleNormal="90" workbookViewId="0"/>
  </sheetViews>
  <sheetFormatPr defaultRowHeight="15" x14ac:dyDescent="0.25"/>
  <cols>
    <col min="1" max="1" width="17.140625" bestFit="1" customWidth="1"/>
    <col min="2" max="2" width="23" bestFit="1" customWidth="1"/>
    <col min="3" max="3" width="25.140625" bestFit="1" customWidth="1"/>
    <col min="4" max="4" width="16" bestFit="1" customWidth="1"/>
    <col min="5" max="5" width="121.28515625" bestFit="1" customWidth="1"/>
  </cols>
  <sheetData>
    <row r="1" spans="1:5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</row>
    <row r="2" spans="1:5" x14ac:dyDescent="0.25">
      <c r="A2" s="3"/>
    </row>
  </sheetData>
  <pageMargins left="0.7" right="0.7" top="0.75" bottom="0.75" header="0.3" footer="0.3"/>
  <pageSetup orientation="portrait" r:id="rId1"/>
  <tableParts count="1">
    <tablePart r:id="rId2"/>
  </tableParts>
</worksheet>
</file>

<file path=customUI/customUI14.xml><?xml version="1.0" encoding="utf-8"?>
<customUI xmlns="http://schemas.microsoft.com/office/2009/07/customui">
  <ribbon>
    <tabs>
      <tab id="customTab" label="ACH 2016">
        <group id="customGroup" label="Custom Tools">
          <button id="customButton1" label="Load Config or Error Files" size="large" onAction="LoadDataFilesWrapper" imageMso="DiagramRadialInsertClassic"/>
        </group>
      </tab>
    </tabs>
  </ribbon>
</customUI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3</vt:i4>
      </vt:variant>
    </vt:vector>
  </HeadingPairs>
  <TitlesOfParts>
    <vt:vector size="9" baseType="lpstr">
      <vt:lpstr>Cover</vt:lpstr>
      <vt:lpstr>Config Files</vt:lpstr>
      <vt:lpstr>Error Files</vt:lpstr>
      <vt:lpstr>Error Progression</vt:lpstr>
      <vt:lpstr>Relations</vt:lpstr>
      <vt:lpstr>DQ Report</vt:lpstr>
      <vt:lpstr>Cover!_buildVersion</vt:lpstr>
      <vt:lpstr>Cover!_lastFile</vt:lpstr>
      <vt:lpstr>Cover!_lastUpdated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2017-05-22T16:11:18Z</dcterms:created>
  <dcterms:modified xsi:type="dcterms:W3CDTF">2017-05-22T16:31:15Z</dcterms:modified>
</cp:coreProperties>
</file>